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otos\Documents\Codex\2026-08-24\referenced-chatgpt-conversation-this-is-an\outputs\turkcuisinebench-dev-v0.1\"/>
    </mc:Choice>
  </mc:AlternateContent>
  <xr:revisionPtr revIDLastSave="0" documentId="13_ncr:1_{08F15938-8125-4E15-B9D2-66571A83CBF3}" xr6:coauthVersionLast="47" xr6:coauthVersionMax="47" xr10:uidLastSave="{00000000-0000-0000-0000-000000000000}"/>
  <bookViews>
    <workbookView xWindow="6975" yWindow="2220" windowWidth="21585" windowHeight="11295" activeTab="1" xr2:uid="{00000000-000D-0000-FFFF-FFFF00000000}"/>
  </bookViews>
  <sheets>
    <sheet name="README" sheetId="1" r:id="rId1"/>
    <sheet name="Dev_Items" sheetId="2" r:id="rId2"/>
    <sheet name="QA_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3" l="1"/>
  <c r="D17" i="3" s="1"/>
  <c r="C16" i="3"/>
  <c r="D16" i="3" s="1"/>
  <c r="C15" i="3"/>
  <c r="D15" i="3" s="1"/>
  <c r="C14" i="3"/>
  <c r="D14" i="3" s="1"/>
  <c r="C13" i="3"/>
  <c r="D13" i="3" s="1"/>
  <c r="C12" i="3"/>
  <c r="D12" i="3" s="1"/>
  <c r="C9" i="3"/>
  <c r="D9" i="3" s="1"/>
  <c r="C8" i="3"/>
  <c r="D8" i="3" s="1"/>
  <c r="C7" i="3"/>
  <c r="D7" i="3" s="1"/>
  <c r="C6" i="3"/>
  <c r="D6" i="3" s="1"/>
  <c r="C5" i="3"/>
  <c r="D5" i="3" s="1"/>
  <c r="C4" i="3"/>
  <c r="D4" i="3" s="1"/>
</calcChain>
</file>

<file path=xl/sharedStrings.xml><?xml version="1.0" encoding="utf-8"?>
<sst xmlns="http://schemas.openxmlformats.org/spreadsheetml/2006/main" count="635" uniqueCount="341">
  <si>
    <t>TurkCuisineBench-Dev v0.1</t>
  </si>
  <si>
    <t>Sürüm</t>
  </si>
  <si>
    <t>v0.1</t>
  </si>
  <si>
    <t>Amaç</t>
  </si>
  <si>
    <t>Prompt, parser, accepted-answer normalizasyonu ve scoring hattını test eden geliştirme seti</t>
  </si>
  <si>
    <t>Kapsam</t>
  </si>
  <si>
    <t>36 Türkçe kısa-yanıt maddesi; L0 ağırlıklı, birkaç L1, L2 yok</t>
  </si>
  <si>
    <t>Kaynak politikası</t>
  </si>
  <si>
    <t>Leaderboard kullanımı</t>
  </si>
  <si>
    <t>Dev maddeleri ana Test leaderboard sonucuna dahil edilmemelidir</t>
  </si>
  <si>
    <t>Accepted answers ayırıcı</t>
  </si>
  <si>
    <t>Birden fazla kabul edilen biçim ' | ' ile ayrılır</t>
  </si>
  <si>
    <t>Alan</t>
  </si>
  <si>
    <t>İzin verilen değerler</t>
  </si>
  <si>
    <t>Yorum</t>
  </si>
  <si>
    <t>QA kuralı</t>
  </si>
  <si>
    <t>lexical_leakage</t>
  </si>
  <si>
    <t>L0 | L1 | L2</t>
  </si>
  <si>
    <t>L0: yok; L1: bağlamsal ipucu; L2: doğrudan sızıntı</t>
  </si>
  <si>
    <t>L2 = 0</t>
  </si>
  <si>
    <t>ambiguity_risk</t>
  </si>
  <si>
    <t>low | medium | high</t>
  </si>
  <si>
    <t>Birden fazla makul yanıt olasılığı</t>
  </si>
  <si>
    <t>medium çoğunlukla review_required</t>
  </si>
  <si>
    <t>temporal_stability</t>
  </si>
  <si>
    <t>high | medium | low</t>
  </si>
  <si>
    <t>Olgunun zaman içinde değişmeme gücü</t>
  </si>
  <si>
    <t>Bu sürümde high</t>
  </si>
  <si>
    <t>numeric_answer</t>
  </si>
  <si>
    <t>TRUE | FALSE</t>
  </si>
  <si>
    <t>Gold yanıtın sayısal değer/aralık olması</t>
  </si>
  <si>
    <t>TRUE = 2</t>
  </si>
  <si>
    <t>item_status</t>
  </si>
  <si>
    <t>dev_ready | review_required</t>
  </si>
  <si>
    <t>İnsan hakemi kararı bekleyen sınır vakaları</t>
  </si>
  <si>
    <t>REVIEW notu zorunlu</t>
  </si>
  <si>
    <t>source_url</t>
  </si>
  <si>
    <t>Düz HTTPS URL</t>
  </si>
  <si>
    <t>Satır düzeyinde provenance</t>
  </si>
  <si>
    <t>Her satırda dolu</t>
  </si>
  <si>
    <t>Dev case type</t>
  </si>
  <si>
    <t>Hedef</t>
  </si>
  <si>
    <t>Tasarım amacı</t>
  </si>
  <si>
    <t>clear_single_word</t>
  </si>
  <si>
    <t>Kısa ve katı eşleştirme</t>
  </si>
  <si>
    <t>multi_word_accepted</t>
  </si>
  <si>
    <t>Yüzey biçimi normalizasyonu</t>
  </si>
  <si>
    <t>local_terminology</t>
  </si>
  <si>
    <t>Düşük görünürlüklü yerel kavramlar</t>
  </si>
  <si>
    <t>technical_culinary</t>
  </si>
  <si>
    <t>Malzeme, araç ve üretim tekniği</t>
  </si>
  <si>
    <t>cultural_heritage</t>
  </si>
  <si>
    <t>Ritüel, aktarım ve miras</t>
  </si>
  <si>
    <t>Yüzde ve aralık parser testi</t>
  </si>
  <si>
    <t>item_id</t>
  </si>
  <si>
    <t>source_fact_id</t>
  </si>
  <si>
    <t>knowledge_domain</t>
  </si>
  <si>
    <t>knowledge_specificity</t>
  </si>
  <si>
    <t>question_tr</t>
  </si>
  <si>
    <t>gold_answer</t>
  </si>
  <si>
    <t>accepted_answers</t>
  </si>
  <si>
    <t>source_type</t>
  </si>
  <si>
    <t>dev_case_type</t>
  </si>
  <si>
    <t>notes</t>
  </si>
  <si>
    <t>D001</t>
  </si>
  <si>
    <t>F014</t>
  </si>
  <si>
    <t>K3 — Preparation &amp; Cooking Techniques</t>
  </si>
  <si>
    <t>Technical</t>
  </si>
  <si>
    <t>Adana Kebabı için et geleneksel olarak hangi araçla kıyılır?</t>
  </si>
  <si>
    <t>Zırh</t>
  </si>
  <si>
    <t>zırh</t>
  </si>
  <si>
    <t>https://ci.turkpatent.gov.tr/Files/GeographicalSigns/493a7cc8-b7da-4f95-bf8c-f82617bc990a.pdf</t>
  </si>
  <si>
    <t>TÜRKPATENT tescil belgesi</t>
  </si>
  <si>
    <t>L0</t>
  </si>
  <si>
    <t>low</t>
  </si>
  <si>
    <t>high</t>
  </si>
  <si>
    <t>dev_ready</t>
  </si>
  <si>
    <t>Kaynakta açıkça tanımlı araç adı.</t>
  </si>
  <si>
    <t>D002</t>
  </si>
  <si>
    <t>F017</t>
  </si>
  <si>
    <t>Local/Technical</t>
  </si>
  <si>
    <t>Maraş Tarhanasının kurutulmak üzere serildiği geleneksel sergiye ne ad verilir?</t>
  </si>
  <si>
    <t>Çığ</t>
  </si>
  <si>
    <t>çığ</t>
  </si>
  <si>
    <t>https://ci.turkpatent.gov.tr/Files/GeographicalSigns/8c3d053b-bb27-4305-a46f-398c181d189e.pdf</t>
  </si>
  <si>
    <t>Yerel üretim terminolojisi.</t>
  </si>
  <si>
    <t>D003</t>
  </si>
  <si>
    <t>F019</t>
  </si>
  <si>
    <t>General</t>
  </si>
  <si>
    <t>UNESCO tanımına göre Türk kahvesi hazırlanırken öğütülmüş kahveye başlangıçta hangi sıcaklıktaki su eklenir?</t>
  </si>
  <si>
    <t>Soğuk</t>
  </si>
  <si>
    <t>soğuk | soğuk su</t>
  </si>
  <si>
    <t>https://ich.unesco.org/en/RL/turkish-coffee-culture-and-tradition-00645</t>
  </si>
  <si>
    <t>UNESCO ICH kaydı</t>
  </si>
  <si>
    <t>Gold tek kelime; 'soğuk su' da kabul edilir.</t>
  </si>
  <si>
    <t>D004</t>
  </si>
  <si>
    <t>F028</t>
  </si>
  <si>
    <t>K5 — Culinary Terminology &amp; Traditional Practices</t>
  </si>
  <si>
    <t>General/Heritage</t>
  </si>
  <si>
    <t>UNESCO'ya göre Türk kahvesine geleneksel olarak hangi içecek eşlik eder?</t>
  </si>
  <si>
    <t>Su</t>
  </si>
  <si>
    <t>su | bir bardak su</t>
  </si>
  <si>
    <t>Kaynak bir bardak suyu belirtir.</t>
  </si>
  <si>
    <t>D005</t>
  </si>
  <si>
    <t>F056</t>
  </si>
  <si>
    <t>K2 — Ingredients &amp; Composition</t>
  </si>
  <si>
    <t>Regional</t>
  </si>
  <si>
    <t>Antalya Piyazını diğer piyazlardan ayıran karakteristik sos nedir?</t>
  </si>
  <si>
    <t>Tarator</t>
  </si>
  <si>
    <t>tarator | tarator sosu</t>
  </si>
  <si>
    <t>https://ci.turkpatent.gov.tr/Files/GeographicalSigns/315.pdf</t>
  </si>
  <si>
    <t>Ayırt edici sos.</t>
  </si>
  <si>
    <t>D006</t>
  </si>
  <si>
    <t>F060</t>
  </si>
  <si>
    <t>Tarsus Humusunda pişmiş nohut geleneksel olarak hangi araçla ezilir?</t>
  </si>
  <si>
    <t>Tokmak</t>
  </si>
  <si>
    <t>tokmak</t>
  </si>
  <si>
    <t>https://ci.turkpatent.gov.tr/Files/GeographicalSigns/226.pdf</t>
  </si>
  <si>
    <t>Geleneksel araç bilgisi.</t>
  </si>
  <si>
    <t>D007</t>
  </si>
  <si>
    <t>F065</t>
  </si>
  <si>
    <t>Local</t>
  </si>
  <si>
    <t>Erzincan Kesme Kadayıfında yufka katlarının arasına hangi kuruyemiş konur?</t>
  </si>
  <si>
    <t>Ceviz</t>
  </si>
  <si>
    <t>ceviz | ceviz içi</t>
  </si>
  <si>
    <t>https://ci.turkpatent.gov.tr/Files/GeographicalSigns/5212ffda-73e7-4b2a-955b-49d1d24c8dd8.pdf</t>
  </si>
  <si>
    <t>İç malzeme.</t>
  </si>
  <si>
    <t>D008</t>
  </si>
  <si>
    <t>F068</t>
  </si>
  <si>
    <t>Diyarbakır Kaburga Dolmasının pirinçli iç harcında hangi kuruyemiş kullanılır?</t>
  </si>
  <si>
    <t>Badem</t>
  </si>
  <si>
    <t>badem | badem içi</t>
  </si>
  <si>
    <t>https://ci.turkpatent.gov.tr/Files/GeographicalSigns/ffe64b55-cc1a-4e1f-90ff-1f9a90128a25.pdf</t>
  </si>
  <si>
    <t>İç harç bileşeni.</t>
  </si>
  <si>
    <t>D009</t>
  </si>
  <si>
    <t>F009</t>
  </si>
  <si>
    <t>Maraş Tarhanasının iki temel bileşeni nedir?</t>
  </si>
  <si>
    <t>Yoğurt ve dövme</t>
  </si>
  <si>
    <t>yoğurt ve dövme | yoğurt ve buğday yarması | yoğurt ile dövme | yoğurt ile buğday yarması</t>
  </si>
  <si>
    <t>medium</t>
  </si>
  <si>
    <t>review_required</t>
  </si>
  <si>
    <t>REVIEW: İki bileşenin de zorunlu olduğu scoring kuralı onaylanmalı.</t>
  </si>
  <si>
    <t>D010</t>
  </si>
  <si>
    <t>F031</t>
  </si>
  <si>
    <t>UNESCO tanımına göre çay geleneksel olarak hangi biçimdeki bardaklarda servis edilir?</t>
  </si>
  <si>
    <t>Armut biçimli bardak</t>
  </si>
  <si>
    <t>armut biçimli bardak | armut şeklinde bardak | armut biçimli bardaklar | armut şeklinde bardaklar</t>
  </si>
  <si>
    <t>https://ich.unesco.org/en/RL/culture-of-cay-tea-a-symbol-of-identity-hospitality-and-social-interaction-01685</t>
  </si>
  <si>
    <t>REVIEW: 'İnce belli bardak' kabul listesine eklenmeli mi doğrulanmalı.</t>
  </si>
  <si>
    <t>D011</t>
  </si>
  <si>
    <t>F083</t>
  </si>
  <si>
    <t>Regional/Heritage</t>
  </si>
  <si>
    <t>UNESCO kaydına göre Türkiye'de düğünlerde yassı ekmek kimlere verilir?</t>
  </si>
  <si>
    <t>Çiftin komşularına</t>
  </si>
  <si>
    <t>çiftin komşularına | yeni evli çiftin komşularına | komşulara</t>
  </si>
  <si>
    <t>https://ich.unesco.org/en/RL/flatbread-making-and-sharing-culture-lavash-katyrma-jupka-yufka-01181</t>
  </si>
  <si>
    <t>Türkiye'ye özgü düğün bağlamı.</t>
  </si>
  <si>
    <t>D012</t>
  </si>
  <si>
    <t>F087</t>
  </si>
  <si>
    <t>Local/Heritage</t>
  </si>
  <si>
    <t>Törensel Keşkek geleneğinde buğday taşınırken hangi iki çalgı çalınır?</t>
  </si>
  <si>
    <t>Davul ve zurna</t>
  </si>
  <si>
    <t>davul ve zurna | zurna ve davul</t>
  </si>
  <si>
    <t>https://ich.unesco.org/en/RL/ceremonial-keskek-tradition-00388</t>
  </si>
  <si>
    <t>İki çalgı da gerekli; sıra önemsiz.</t>
  </si>
  <si>
    <t>D013</t>
  </si>
  <si>
    <t>F100</t>
  </si>
  <si>
    <t>K6 — Culinary History, Heritage &amp; Cultural Context</t>
  </si>
  <si>
    <t>Kültür Portalına göre aşurenin temsil ettiği iki temel kavram nedir?</t>
  </si>
  <si>
    <t>Bolluk ve bereket</t>
  </si>
  <si>
    <t>bolluk ve bereket | bereket ve bolluk</t>
  </si>
  <si>
    <t>https://kulturportali.gov.tr/portal/geleneksel-lezzetler--7-ozel-gun-yemegi</t>
  </si>
  <si>
    <t>Kültür ve Turizm Bakanlığı Kültür Portalı</t>
  </si>
  <si>
    <t>İki kavram da gerekli; sıra önemsiz.</t>
  </si>
  <si>
    <t>D014</t>
  </si>
  <si>
    <t>F112</t>
  </si>
  <si>
    <t>Tekirdağ'daki Herise geleneğinde düğün için hazırlanan yemekten özellikle hangi iki gruba gönderilir?</t>
  </si>
  <si>
    <t>Hasta ve yaşlılar</t>
  </si>
  <si>
    <t>hasta ve yaşlılar | yaşlı ve hastalar | hastalara ve yaşlılara | yaşlılara ve hastalara</t>
  </si>
  <si>
    <t>https://www.kulturportali.gov.tr/turkiye/tekirdag/neyenir/herise-keskek</t>
  </si>
  <si>
    <t>İki hedef grup da gerekli.</t>
  </si>
  <si>
    <t>D015</t>
  </si>
  <si>
    <t>F059</t>
  </si>
  <si>
    <t>Tarsus Humusunda nohutların ezildiği geleneksel bakır kabın adı nedir?</t>
  </si>
  <si>
    <t>Humus Tası</t>
  </si>
  <si>
    <t>humus tası | humus tasi</t>
  </si>
  <si>
    <t>Özel kap adı.</t>
  </si>
  <si>
    <t>D016</t>
  </si>
  <si>
    <t>F102</t>
  </si>
  <si>
    <t>İzmir kültüründe lokmanın özel günlerde hazırlanarak halka ücretsiz dağıtılması geleneğine ne ad verilir?</t>
  </si>
  <si>
    <t>Lokma dökmek</t>
  </si>
  <si>
    <t>lokma dökmek | lokma döktürmek</t>
  </si>
  <si>
    <t>https://kulturportali.gov.tr/turkiye/izmir/neyenir/lokma-zmir-lokmasi</t>
  </si>
  <si>
    <t>İki yerel fiil biçimi kabul edilir.</t>
  </si>
  <si>
    <t>D017</t>
  </si>
  <si>
    <t>F104</t>
  </si>
  <si>
    <t>İzmir'in bazı yörelerinde Sura'nın üzerine sarılan yağlı zar tabakasına verilen geleneksel adlardan biri nedir?</t>
  </si>
  <si>
    <t>Gömlek</t>
  </si>
  <si>
    <t>gömlek | çember</t>
  </si>
  <si>
    <t>https://www.kulturportali.gov.tr/turkiye/izmir/neyenir/cop-ss</t>
  </si>
  <si>
    <t>REVIEW: İki yerel adın eşdeğer kabulü doğrulanmalı.</t>
  </si>
  <si>
    <t>D018</t>
  </si>
  <si>
    <t>F106</t>
  </si>
  <si>
    <t>İzmir mutfağındaki cibez, Tire civarında hangi adla da bilinir?</t>
  </si>
  <si>
    <t>Cücük</t>
  </si>
  <si>
    <t>cücük</t>
  </si>
  <si>
    <t>https://kulturportali.gov.tr/turkiye/izmir/neyenir/cbez-cibes-salatasi</t>
  </si>
  <si>
    <t>L1</t>
  </si>
  <si>
    <t>L1: yöre ve ana terim bağlamı cevabı daraltır.</t>
  </si>
  <si>
    <t>D019</t>
  </si>
  <si>
    <t>F113</t>
  </si>
  <si>
    <t>Edirne mutfağındaki Kaçamak başka hangi adla bilinir?</t>
  </si>
  <si>
    <t>Mamaliga</t>
  </si>
  <si>
    <t>mamaliga</t>
  </si>
  <si>
    <t>https://www.kulturportali.gov.tr/turkiye/edirne/neyenir/kacamak-2</t>
  </si>
  <si>
    <t>L1: ana yemek adı bağlam sağlar.</t>
  </si>
  <si>
    <t>D020</t>
  </si>
  <si>
    <t>F116</t>
  </si>
  <si>
    <t>Afyonkarahisar'da doğumdan sonra misafirlere ikram edilen sıra yemeklerine ne ad verilir?</t>
  </si>
  <si>
    <t>Takım</t>
  </si>
  <si>
    <t>takım</t>
  </si>
  <si>
    <t>https://www.kulturportali.gov.tr/turkiye/afyonkarahisar/kulturatlasi/sira-yemegi</t>
  </si>
  <si>
    <t>Yerel doğum yemeği terminolojisi.</t>
  </si>
  <si>
    <t>D021</t>
  </si>
  <si>
    <t>F117</t>
  </si>
  <si>
    <t>Afyonkarahisar'da nişan gecesinin ertesi günü yapılan geleneksel yemekli davetin adı nedir?</t>
  </si>
  <si>
    <t>Zinardı daveti</t>
  </si>
  <si>
    <t>zinardı daveti | zinardı | sini ardı daveti | sini ardı</t>
  </si>
  <si>
    <t>REVIEW: Zinardı/sini ardı yazım ve kısa yanıt varyantları onaylanmalı.</t>
  </si>
  <si>
    <t>D022</t>
  </si>
  <si>
    <t>F118</t>
  </si>
  <si>
    <t>Afyonkarahisar sıra yemeklerinde yemeklerin sofraya geliş sırasını düzenleme işine ne ad verilir?</t>
  </si>
  <si>
    <t>Yemek kurtarma</t>
  </si>
  <si>
    <t>yemek kurtarma</t>
  </si>
  <si>
    <t>Yerel servis düzenleme terimi.</t>
  </si>
  <si>
    <t>D023</t>
  </si>
  <si>
    <t>F008</t>
  </si>
  <si>
    <t>Kuru Antep Baklavasında raf ömrünü uzatmak amacıyla kullanılmayan bileşen nedir?</t>
  </si>
  <si>
    <t>Kaymak</t>
  </si>
  <si>
    <t>kaymak</t>
  </si>
  <si>
    <t>https://ci.turkpatent.gov.tr/Files/GeographicalSigns/0cbbdd44-8cae-4ef4-af94-b2889a94f28c.pdf</t>
  </si>
  <si>
    <t>L1: 'kuru' ürün türü bağlam sağlar.</t>
  </si>
  <si>
    <t>D024</t>
  </si>
  <si>
    <t>F016</t>
  </si>
  <si>
    <t>Maraş Tarhanası üretiminde yoğurt, dövmeye hangi aşamada eklenir?</t>
  </si>
  <si>
    <t>Pişirme ve soğutma sonrasında</t>
  </si>
  <si>
    <t>pişirme ve soğutma sonrasında | pişirmeden ve soğutmadan sonra | dövme pişirilip soğutulduktan sonra | pişmiş dövme soğutulduktan sonra</t>
  </si>
  <si>
    <t>REVIEW: 60 °C'ye kadar soğutma ayrıntısının zorunluluğu belirlenmeli.</t>
  </si>
  <si>
    <t>D025</t>
  </si>
  <si>
    <t>F018</t>
  </si>
  <si>
    <t>Afyon Sucuğu hamuru hangi tür bağırsağa doldurulur?</t>
  </si>
  <si>
    <t>Sığır bağırsağı</t>
  </si>
  <si>
    <t>sığır bağırsağı | sığır bağırsağına</t>
  </si>
  <si>
    <t>https://ci.turkpatent.gov.tr/Files/GeographicalSigns/11b3bb14-c7b9-4447-89c6-e0858d9f2688.pdf</t>
  </si>
  <si>
    <t>Dolum malzemesi.</t>
  </si>
  <si>
    <t>D026</t>
  </si>
  <si>
    <t>F052</t>
  </si>
  <si>
    <t>Malatya Kâğıt Kebabının taş fırını geleneksel olarak hangi odunla ısıtılır?</t>
  </si>
  <si>
    <t>Meşe odunu</t>
  </si>
  <si>
    <t>meşe odunu | meşe</t>
  </si>
  <si>
    <t>https://ci.turkpatent.gov.tr/Files/GeographicalSigns/024913eb-9b44-4d6b-8a23-d1a173884fd5.pdf</t>
  </si>
  <si>
    <t>Yakıt türü.</t>
  </si>
  <si>
    <t>D027</t>
  </si>
  <si>
    <t>F062</t>
  </si>
  <si>
    <t>Ordu Tostu için üretilen özel ekmek geleneksel olarak hangi yakıtla pişirilir?</t>
  </si>
  <si>
    <t>Fındık kabuğu</t>
  </si>
  <si>
    <t>fındık kabuğu | fındık kabuğu ateşi | fındık kabuğu ateşinde</t>
  </si>
  <si>
    <t>https://ci.turkpatent.gov.tr/Files/GeographicalSigns/3612f8b8-12ff-4c4d-bc58-896f37cec09b.pdf</t>
  </si>
  <si>
    <t>Özel ekmeğin pişirme yakıtı.</t>
  </si>
  <si>
    <t>D028</t>
  </si>
  <si>
    <t>F109</t>
  </si>
  <si>
    <t>Tekirdağ Bulamasında köpük oluşturmak amacıyla kullanılan geleneksel bitkisel bileşen nedir?</t>
  </si>
  <si>
    <t>Çöven</t>
  </si>
  <si>
    <t>çöven | çöğen</t>
  </si>
  <si>
    <t>https://www.kulturportali.gov.tr/turkiye/tekirdag/neyenir/bulama</t>
  </si>
  <si>
    <t>REVIEW: Çöven/çöğen yazım varyantlarının eşdeğerliği doğrulanmalı.</t>
  </si>
  <si>
    <t>D029</t>
  </si>
  <si>
    <t>F027</t>
  </si>
  <si>
    <t>Türk kahvesi içildikten sonra fincanda kalan telve geleneksel olarak hangi uygulamada kullanılır?</t>
  </si>
  <si>
    <t>Fal bakmak</t>
  </si>
  <si>
    <t>fal bakmak | kahve falı | kahve falı bakmak | falcılık</t>
  </si>
  <si>
    <t>UNESCO kaydındaki sosyal uygulama.</t>
  </si>
  <si>
    <t>D030</t>
  </si>
  <si>
    <t>F036</t>
  </si>
  <si>
    <t>Türkiye ile birlikte Çay Kültürü unsurunu UNESCO'ya ortak kaydettiren ülke hangisidir?</t>
  </si>
  <si>
    <t>Azerbaycan</t>
  </si>
  <si>
    <t>azerbaycan | azerbaijan</t>
  </si>
  <si>
    <t>Ortak UNESCO kaydındaki diğer ülke.</t>
  </si>
  <si>
    <t>D031</t>
  </si>
  <si>
    <t>F084</t>
  </si>
  <si>
    <t>Geleneksel yassı ekmek yapımı aile dışında hangi öğrenme ilişkisiyle aktarılır?</t>
  </si>
  <si>
    <t>Usta-çırak</t>
  </si>
  <si>
    <t>usta-çırak | usta çırak | ustadan çırağa | usta-çırak ilişkisi</t>
  </si>
  <si>
    <t>UNESCO aktarım biçimi.</t>
  </si>
  <si>
    <t>D032</t>
  </si>
  <si>
    <t>F085</t>
  </si>
  <si>
    <t>Törensel Keşkek geleneğinde buğday, törenden önceki gün hangi uygulama eşliğinde yıkanır?</t>
  </si>
  <si>
    <t>Dua</t>
  </si>
  <si>
    <t>dua | dualar | dua ederek | dualarla</t>
  </si>
  <si>
    <t>Törensel hazırlık uygulaması.</t>
  </si>
  <si>
    <t>D033</t>
  </si>
  <si>
    <t>F096</t>
  </si>
  <si>
    <t>Mesir Macunu Festivali tarihsel olarak kimin iyileşmesini anar?</t>
  </si>
  <si>
    <t>Hafsa Sultan</t>
  </si>
  <si>
    <t>hafsa sultan | ayşe hafsa sultan</t>
  </si>
  <si>
    <t>https://ich.unesco.org/en/RL/mesir-macunu-festival-00642</t>
  </si>
  <si>
    <t>Festivalin tarihsel anlatısındaki kişi.</t>
  </si>
  <si>
    <t>D034</t>
  </si>
  <si>
    <t>F101</t>
  </si>
  <si>
    <t>Türkiye'de güllaç geleneksel olarak hangi ay veya dönemle özdeşleşir?</t>
  </si>
  <si>
    <t>Ramazan</t>
  </si>
  <si>
    <t>ramazan | ramazan ayı</t>
  </si>
  <si>
    <t>Kültür Portalındaki özel gün bağlamı.</t>
  </si>
  <si>
    <t>D035</t>
  </si>
  <si>
    <t>F010</t>
  </si>
  <si>
    <t>K4 — Geographical Indications &amp; Product Specifications</t>
  </si>
  <si>
    <t>Afyon Sucuğunda manda etinin asgari oranı yüzde kaçtır?</t>
  </si>
  <si>
    <t>En az %15</t>
  </si>
  <si>
    <t>15 | %15 | yüzde 15 | en az %15 | en az yüzde 15</t>
  </si>
  <si>
    <t>https://ci.turkpatent.gov.tr/Files/GeographicalSigns/8eb202f7-bf82-48cd-9f21-955bc921c665.pdf</t>
  </si>
  <si>
    <t>L1: yüzde biçimi verilir; değer sızmaz.</t>
  </si>
  <si>
    <t>D036</t>
  </si>
  <si>
    <t>F088</t>
  </si>
  <si>
    <t>Törensel Keşkek hazırlığında buğday taş havanda kaç kişi tarafından dövülür?</t>
  </si>
  <si>
    <t>2–4 kişi</t>
  </si>
  <si>
    <t>2-4 | 2–4 | 2 ila 4 | iki ila dört | iki-dört kişi</t>
  </si>
  <si>
    <t>REVIEW: Parser sayısal aralığı tek değer değil aralık olarak değerlendirmeli.</t>
  </si>
  <si>
    <t>TurkCuisineBench-Dev v0.1 — QA Summary</t>
  </si>
  <si>
    <t>Kontrol</t>
  </si>
  <si>
    <t>Gerçekleşen</t>
  </si>
  <si>
    <t>Sonuç</t>
  </si>
  <si>
    <t>Ek kontrol</t>
  </si>
  <si>
    <t>Beklenen</t>
  </si>
  <si>
    <t>Toplam item</t>
  </si>
  <si>
    <t>L2 lexical leakage</t>
  </si>
  <si>
    <t>L1 boundary case</t>
  </si>
  <si>
    <t>&gt;= 2</t>
  </si>
  <si>
    <t>numeric_answer satırı</t>
  </si>
  <si>
    <t>flagged</t>
  </si>
  <si>
    <t>source_url dolu</t>
  </si>
  <si>
    <t>Fact havuzu; resmî/kurumsal kaynak öncelikli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</si>
</sst>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rlito"/>
    </font>
    <font>
      <b/>
      <sz val="18"/>
      <color rgb="FFFFFFFF"/>
      <name val="Carlito"/>
    </font>
    <font>
      <b/>
      <sz val="11"/>
      <color rgb="FF153B5B"/>
      <name val="Carlito"/>
    </font>
    <font>
      <b/>
      <sz val="11"/>
      <color rgb="FFFFFFFF"/>
      <name val="Carlito"/>
    </font>
    <font>
      <b/>
      <sz val="10"/>
      <color rgb="FFFFFFFF"/>
      <name val="Carlito"/>
    </font>
    <font>
      <sz val="9"/>
      <color rgb="FF1E2D36"/>
      <name val="Carlito"/>
    </font>
    <font>
      <sz val="9"/>
      <color rgb="FF1B5E8A"/>
      <name val="Carlito"/>
    </font>
    <font>
      <b/>
      <sz val="9"/>
      <color rgb="FF8A4B08"/>
      <name val="Carlito"/>
    </font>
    <font>
      <b/>
      <sz val="9"/>
      <color rgb="FF5E3C99"/>
      <name val="Carlito"/>
    </font>
    <font>
      <b/>
      <sz val="11"/>
      <color rgb="FF2D6A4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53B5B"/>
      </patternFill>
    </fill>
    <fill>
      <patternFill patternType="solid">
        <fgColor rgb="FFD9EAF3"/>
      </patternFill>
    </fill>
    <fill>
      <patternFill patternType="solid">
        <fgColor rgb="FF2D6A4F"/>
      </patternFill>
    </fill>
    <fill>
      <patternFill patternType="solid">
        <fgColor rgb="FFFFF1CC"/>
      </patternFill>
    </fill>
    <fill>
      <patternFill patternType="solid">
        <fgColor rgb="FFE8E1F5"/>
      </patternFill>
    </fill>
    <fill>
      <patternFill patternType="solid">
        <fgColor rgb="FFDFF3E4"/>
      </patternFill>
    </fill>
  </fills>
  <borders count="4">
    <border>
      <left/>
      <right/>
      <top/>
      <bottom/>
      <diagonal/>
    </border>
    <border>
      <left style="medium">
        <color rgb="FF153B5B"/>
      </left>
      <right/>
      <top style="medium">
        <color rgb="FF153B5B"/>
      </top>
      <bottom style="medium">
        <color rgb="FF153B5B"/>
      </bottom>
      <diagonal/>
    </border>
    <border>
      <left/>
      <right/>
      <top style="medium">
        <color rgb="FF153B5B"/>
      </top>
      <bottom style="medium">
        <color rgb="FF153B5B"/>
      </bottom>
      <diagonal/>
    </border>
    <border>
      <left/>
      <right style="medium">
        <color rgb="FF153B5B"/>
      </right>
      <top style="medium">
        <color rgb="FF153B5B"/>
      </top>
      <bottom style="medium">
        <color rgb="FF153B5B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4" borderId="0" xfId="0" applyFont="1" applyFill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7" fillId="5" borderId="0" xfId="0" applyFont="1" applyFill="1" applyAlignment="1">
      <alignment horizontal="center" vertical="top" wrapText="1"/>
    </xf>
    <xf numFmtId="0" fontId="8" fillId="6" borderId="0" xfId="0" applyFont="1" applyFill="1" applyAlignment="1">
      <alignment horizontal="center" vertical="top" wrapText="1"/>
    </xf>
    <xf numFmtId="0" fontId="5" fillId="7" borderId="0" xfId="0" applyFont="1" applyFill="1" applyAlignment="1">
      <alignment horizontal="center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7" borderId="0" xfId="0" applyFont="1" applyFill="1" applyAlignment="1">
      <alignment horizontal="center" vertical="top" wrapText="1"/>
    </xf>
    <xf numFmtId="0" fontId="9" fillId="4" borderId="0" xfId="0" applyFont="1" applyFill="1" applyAlignment="1">
      <alignment horizontal="center" wrapText="1"/>
    </xf>
    <xf numFmtId="0" fontId="9" fillId="0" borderId="0" xfId="0" applyFont="1" applyAlignment="1">
      <alignment horizont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temsTable" displayName="DevItemsTable" ref="A1:P37" totalsRowShown="0">
  <tableColumns count="16">
    <tableColumn id="1" xr3:uid="{00000000-0010-0000-0000-000001000000}" name="item_id"/>
    <tableColumn id="2" xr3:uid="{00000000-0010-0000-0000-000002000000}" name="source_fact_id"/>
    <tableColumn id="3" xr3:uid="{00000000-0010-0000-0000-000003000000}" name="knowledge_domain"/>
    <tableColumn id="4" xr3:uid="{00000000-0010-0000-0000-000004000000}" name="knowledge_specificity"/>
    <tableColumn id="5" xr3:uid="{00000000-0010-0000-0000-000005000000}" name="question_tr"/>
    <tableColumn id="6" xr3:uid="{00000000-0010-0000-0000-000006000000}" name="gold_answer"/>
    <tableColumn id="7" xr3:uid="{00000000-0010-0000-0000-000007000000}" name="accepted_answers"/>
    <tableColumn id="8" xr3:uid="{00000000-0010-0000-0000-000008000000}" name="source_url"/>
    <tableColumn id="9" xr3:uid="{00000000-0010-0000-0000-000009000000}" name="source_type"/>
    <tableColumn id="10" xr3:uid="{00000000-0010-0000-0000-00000A000000}" name="lexical_leakage"/>
    <tableColumn id="11" xr3:uid="{00000000-0010-0000-0000-00000B000000}" name="ambiguity_risk"/>
    <tableColumn id="12" xr3:uid="{00000000-0010-0000-0000-00000C000000}" name="temporal_stability"/>
    <tableColumn id="13" xr3:uid="{00000000-0010-0000-0000-00000D000000}" name="numeric_answer"/>
    <tableColumn id="14" xr3:uid="{00000000-0010-0000-0000-00000E000000}" name="dev_case_type"/>
    <tableColumn id="15" xr3:uid="{00000000-0010-0000-0000-00000F000000}" name="item_status"/>
    <tableColumn id="16" xr3:uid="{00000000-0010-0000-0000-000010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showGridLines="0" workbookViewId="0">
      <selection activeCell="B7" sqref="B7"/>
    </sheetView>
  </sheetViews>
  <sheetFormatPr defaultRowHeight="15" x14ac:dyDescent="0.25"/>
  <cols>
    <col min="1" max="1" width="22.5" customWidth="1"/>
    <col min="2" max="2" width="58.75" customWidth="1"/>
    <col min="3" max="3" width="37.5" customWidth="1"/>
    <col min="4" max="4" width="33.75" customWidth="1"/>
  </cols>
  <sheetData>
    <row r="1" spans="1:4" ht="28.5" customHeight="1" x14ac:dyDescent="0.25">
      <c r="A1" s="18" t="s">
        <v>0</v>
      </c>
      <c r="B1" s="18"/>
      <c r="C1" s="18"/>
      <c r="D1" s="18"/>
    </row>
    <row r="3" spans="1:4" x14ac:dyDescent="0.25">
      <c r="A3" s="1" t="s">
        <v>1</v>
      </c>
      <c r="B3" s="2" t="s">
        <v>2</v>
      </c>
    </row>
    <row r="4" spans="1:4" ht="30" x14ac:dyDescent="0.25">
      <c r="A4" s="1" t="s">
        <v>3</v>
      </c>
      <c r="B4" s="2" t="s">
        <v>4</v>
      </c>
    </row>
    <row r="5" spans="1:4" x14ac:dyDescent="0.25">
      <c r="A5" s="1" t="s">
        <v>5</v>
      </c>
      <c r="B5" s="2" t="s">
        <v>6</v>
      </c>
    </row>
    <row r="6" spans="1:4" x14ac:dyDescent="0.25">
      <c r="A6" s="1" t="s">
        <v>7</v>
      </c>
      <c r="B6" s="2" t="s">
        <v>340</v>
      </c>
    </row>
    <row r="7" spans="1:4" x14ac:dyDescent="0.25">
      <c r="A7" s="1" t="s">
        <v>8</v>
      </c>
      <c r="B7" s="2" t="s">
        <v>9</v>
      </c>
    </row>
    <row r="8" spans="1:4" x14ac:dyDescent="0.25">
      <c r="A8" s="1" t="s">
        <v>10</v>
      </c>
      <c r="B8" s="2" t="s">
        <v>11</v>
      </c>
    </row>
    <row r="10" spans="1:4" x14ac:dyDescent="0.25">
      <c r="A10" s="3" t="s">
        <v>12</v>
      </c>
      <c r="B10" s="3" t="s">
        <v>13</v>
      </c>
      <c r="C10" s="3" t="s">
        <v>14</v>
      </c>
      <c r="D10" s="3" t="s">
        <v>15</v>
      </c>
    </row>
    <row r="11" spans="1:4" ht="30" x14ac:dyDescent="0.25">
      <c r="A11" s="2" t="s">
        <v>16</v>
      </c>
      <c r="B11" s="2" t="s">
        <v>17</v>
      </c>
      <c r="C11" s="2" t="s">
        <v>18</v>
      </c>
      <c r="D11" s="2" t="s">
        <v>19</v>
      </c>
    </row>
    <row r="12" spans="1:4" x14ac:dyDescent="0.25">
      <c r="A12" s="2" t="s">
        <v>20</v>
      </c>
      <c r="B12" s="2" t="s">
        <v>21</v>
      </c>
      <c r="C12" s="2" t="s">
        <v>22</v>
      </c>
      <c r="D12" s="2" t="s">
        <v>23</v>
      </c>
    </row>
    <row r="13" spans="1:4" x14ac:dyDescent="0.25">
      <c r="A13" s="2" t="s">
        <v>24</v>
      </c>
      <c r="B13" s="2" t="s">
        <v>25</v>
      </c>
      <c r="C13" s="2" t="s">
        <v>26</v>
      </c>
      <c r="D13" s="2" t="s">
        <v>27</v>
      </c>
    </row>
    <row r="14" spans="1:4" x14ac:dyDescent="0.25">
      <c r="A14" s="2" t="s">
        <v>28</v>
      </c>
      <c r="B14" s="2" t="s">
        <v>29</v>
      </c>
      <c r="C14" s="2" t="s">
        <v>30</v>
      </c>
      <c r="D14" s="2" t="s">
        <v>31</v>
      </c>
    </row>
    <row r="15" spans="1:4" x14ac:dyDescent="0.25">
      <c r="A15" s="2" t="s">
        <v>32</v>
      </c>
      <c r="B15" s="2" t="s">
        <v>33</v>
      </c>
      <c r="C15" s="2" t="s">
        <v>34</v>
      </c>
      <c r="D15" s="2" t="s">
        <v>35</v>
      </c>
    </row>
    <row r="16" spans="1:4" x14ac:dyDescent="0.25">
      <c r="A16" s="2" t="s">
        <v>36</v>
      </c>
      <c r="B16" s="2" t="s">
        <v>37</v>
      </c>
      <c r="C16" s="2" t="s">
        <v>38</v>
      </c>
      <c r="D16" s="2" t="s">
        <v>39</v>
      </c>
    </row>
    <row r="18" spans="1:3" x14ac:dyDescent="0.25">
      <c r="A18" s="3" t="s">
        <v>40</v>
      </c>
      <c r="B18" s="3" t="s">
        <v>41</v>
      </c>
      <c r="C18" s="3" t="s">
        <v>42</v>
      </c>
    </row>
    <row r="19" spans="1:3" x14ac:dyDescent="0.25">
      <c r="A19" t="s">
        <v>43</v>
      </c>
      <c r="B19">
        <v>8</v>
      </c>
      <c r="C19" t="s">
        <v>44</v>
      </c>
    </row>
    <row r="20" spans="1:3" x14ac:dyDescent="0.25">
      <c r="A20" t="s">
        <v>45</v>
      </c>
      <c r="B20">
        <v>6</v>
      </c>
      <c r="C20" t="s">
        <v>46</v>
      </c>
    </row>
    <row r="21" spans="1:3" x14ac:dyDescent="0.25">
      <c r="A21" t="s">
        <v>47</v>
      </c>
      <c r="B21">
        <v>8</v>
      </c>
      <c r="C21" t="s">
        <v>48</v>
      </c>
    </row>
    <row r="22" spans="1:3" x14ac:dyDescent="0.25">
      <c r="A22" t="s">
        <v>49</v>
      </c>
      <c r="B22">
        <v>6</v>
      </c>
      <c r="C22" t="s">
        <v>50</v>
      </c>
    </row>
    <row r="23" spans="1:3" x14ac:dyDescent="0.25">
      <c r="A23" t="s">
        <v>51</v>
      </c>
      <c r="B23">
        <v>6</v>
      </c>
      <c r="C23" t="s">
        <v>52</v>
      </c>
    </row>
    <row r="24" spans="1:3" x14ac:dyDescent="0.25">
      <c r="A24" t="s">
        <v>28</v>
      </c>
      <c r="B24">
        <v>2</v>
      </c>
      <c r="C24" t="s">
        <v>53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7"/>
  <sheetViews>
    <sheetView showGridLines="0" tabSelected="1" topLeftCell="G7" workbookViewId="0"/>
  </sheetViews>
  <sheetFormatPr defaultRowHeight="15" x14ac:dyDescent="0.25"/>
  <cols>
    <col min="1" max="2" width="11.25" customWidth="1"/>
    <col min="3" max="3" width="28.75" customWidth="1"/>
    <col min="4" max="4" width="16.875" customWidth="1"/>
    <col min="5" max="5" width="46.25" customWidth="1"/>
    <col min="6" max="6" width="23.75" customWidth="1"/>
    <col min="7" max="8" width="41.25" customWidth="1"/>
    <col min="9" max="9" width="23.75" customWidth="1"/>
    <col min="10" max="10" width="11.875" customWidth="1"/>
    <col min="11" max="11" width="13.125" customWidth="1"/>
    <col min="12" max="12" width="13.75" customWidth="1"/>
    <col min="13" max="13" width="12.5" customWidth="1"/>
    <col min="14" max="14" width="21.25" customWidth="1"/>
    <col min="15" max="15" width="16.875" customWidth="1"/>
    <col min="16" max="16" width="41.25" customWidth="1"/>
  </cols>
  <sheetData>
    <row r="1" spans="1:16" ht="33" customHeight="1" x14ac:dyDescent="0.25">
      <c r="A1" s="4" t="s">
        <v>54</v>
      </c>
      <c r="B1" s="5" t="s">
        <v>55</v>
      </c>
      <c r="C1" s="5" t="s">
        <v>56</v>
      </c>
      <c r="D1" s="5" t="s">
        <v>57</v>
      </c>
      <c r="E1" s="5" t="s">
        <v>58</v>
      </c>
      <c r="F1" s="5" t="s">
        <v>59</v>
      </c>
      <c r="G1" s="5" t="s">
        <v>60</v>
      </c>
      <c r="H1" s="5" t="s">
        <v>36</v>
      </c>
      <c r="I1" s="5" t="s">
        <v>61</v>
      </c>
      <c r="J1" s="5" t="s">
        <v>16</v>
      </c>
      <c r="K1" s="5" t="s">
        <v>20</v>
      </c>
      <c r="L1" s="5" t="s">
        <v>24</v>
      </c>
      <c r="M1" s="5" t="s">
        <v>28</v>
      </c>
      <c r="N1" s="5" t="s">
        <v>62</v>
      </c>
      <c r="O1" s="5" t="s">
        <v>32</v>
      </c>
      <c r="P1" s="6" t="s">
        <v>63</v>
      </c>
    </row>
    <row r="2" spans="1:16" ht="43.5" customHeight="1" x14ac:dyDescent="0.25">
      <c r="A2" s="7" t="s">
        <v>64</v>
      </c>
      <c r="B2" s="7" t="s">
        <v>65</v>
      </c>
      <c r="C2" s="7" t="s">
        <v>66</v>
      </c>
      <c r="D2" s="7" t="s">
        <v>67</v>
      </c>
      <c r="E2" s="7" t="s">
        <v>68</v>
      </c>
      <c r="F2" s="7" t="s">
        <v>69</v>
      </c>
      <c r="G2" s="7" t="s">
        <v>70</v>
      </c>
      <c r="H2" s="10" t="s">
        <v>71</v>
      </c>
      <c r="I2" s="7" t="s">
        <v>72</v>
      </c>
      <c r="J2" s="8" t="s">
        <v>73</v>
      </c>
      <c r="K2" s="8" t="s">
        <v>74</v>
      </c>
      <c r="L2" s="8" t="s">
        <v>75</v>
      </c>
      <c r="M2" s="9" t="b">
        <v>0</v>
      </c>
      <c r="N2" s="8" t="s">
        <v>43</v>
      </c>
      <c r="O2" s="8" t="s">
        <v>76</v>
      </c>
      <c r="P2" s="7" t="s">
        <v>77</v>
      </c>
    </row>
    <row r="3" spans="1:16" ht="43.5" customHeight="1" x14ac:dyDescent="0.25">
      <c r="A3" s="7" t="s">
        <v>78</v>
      </c>
      <c r="B3" s="7" t="s">
        <v>79</v>
      </c>
      <c r="C3" s="7" t="s">
        <v>66</v>
      </c>
      <c r="D3" s="7" t="s">
        <v>80</v>
      </c>
      <c r="E3" s="7" t="s">
        <v>81</v>
      </c>
      <c r="F3" s="7" t="s">
        <v>82</v>
      </c>
      <c r="G3" s="7" t="s">
        <v>83</v>
      </c>
      <c r="H3" s="10" t="s">
        <v>84</v>
      </c>
      <c r="I3" s="7" t="s">
        <v>72</v>
      </c>
      <c r="J3" s="8" t="s">
        <v>73</v>
      </c>
      <c r="K3" s="8" t="s">
        <v>74</v>
      </c>
      <c r="L3" s="8" t="s">
        <v>75</v>
      </c>
      <c r="M3" s="9" t="b">
        <v>0</v>
      </c>
      <c r="N3" s="8" t="s">
        <v>43</v>
      </c>
      <c r="O3" s="8" t="s">
        <v>76</v>
      </c>
      <c r="P3" s="7" t="s">
        <v>85</v>
      </c>
    </row>
    <row r="4" spans="1:16" ht="43.5" customHeight="1" x14ac:dyDescent="0.25">
      <c r="A4" s="7" t="s">
        <v>86</v>
      </c>
      <c r="B4" s="7" t="s">
        <v>87</v>
      </c>
      <c r="C4" s="7" t="s">
        <v>66</v>
      </c>
      <c r="D4" s="7" t="s">
        <v>88</v>
      </c>
      <c r="E4" s="7" t="s">
        <v>89</v>
      </c>
      <c r="F4" s="7" t="s">
        <v>90</v>
      </c>
      <c r="G4" s="7" t="s">
        <v>91</v>
      </c>
      <c r="H4" s="10" t="s">
        <v>92</v>
      </c>
      <c r="I4" s="7" t="s">
        <v>93</v>
      </c>
      <c r="J4" s="8" t="s">
        <v>73</v>
      </c>
      <c r="K4" s="8" t="s">
        <v>74</v>
      </c>
      <c r="L4" s="8" t="s">
        <v>75</v>
      </c>
      <c r="M4" s="9" t="b">
        <v>0</v>
      </c>
      <c r="N4" s="8" t="s">
        <v>43</v>
      </c>
      <c r="O4" s="8" t="s">
        <v>76</v>
      </c>
      <c r="P4" s="7" t="s">
        <v>94</v>
      </c>
    </row>
    <row r="5" spans="1:16" ht="43.5" customHeight="1" x14ac:dyDescent="0.25">
      <c r="A5" s="7" t="s">
        <v>95</v>
      </c>
      <c r="B5" s="7" t="s">
        <v>96</v>
      </c>
      <c r="C5" s="7" t="s">
        <v>97</v>
      </c>
      <c r="D5" s="7" t="s">
        <v>98</v>
      </c>
      <c r="E5" s="7" t="s">
        <v>99</v>
      </c>
      <c r="F5" s="7" t="s">
        <v>100</v>
      </c>
      <c r="G5" s="7" t="s">
        <v>101</v>
      </c>
      <c r="H5" s="10" t="s">
        <v>92</v>
      </c>
      <c r="I5" s="7" t="s">
        <v>93</v>
      </c>
      <c r="J5" s="8" t="s">
        <v>73</v>
      </c>
      <c r="K5" s="8" t="s">
        <v>74</v>
      </c>
      <c r="L5" s="8" t="s">
        <v>75</v>
      </c>
      <c r="M5" s="9" t="b">
        <v>0</v>
      </c>
      <c r="N5" s="8" t="s">
        <v>43</v>
      </c>
      <c r="O5" s="8" t="s">
        <v>76</v>
      </c>
      <c r="P5" s="7" t="s">
        <v>102</v>
      </c>
    </row>
    <row r="6" spans="1:16" ht="43.5" customHeight="1" x14ac:dyDescent="0.25">
      <c r="A6" s="7" t="s">
        <v>103</v>
      </c>
      <c r="B6" s="7" t="s">
        <v>104</v>
      </c>
      <c r="C6" s="7" t="s">
        <v>105</v>
      </c>
      <c r="D6" s="7" t="s">
        <v>106</v>
      </c>
      <c r="E6" s="7" t="s">
        <v>107</v>
      </c>
      <c r="F6" s="7" t="s">
        <v>108</v>
      </c>
      <c r="G6" s="7" t="s">
        <v>109</v>
      </c>
      <c r="H6" s="10" t="s">
        <v>110</v>
      </c>
      <c r="I6" s="7" t="s">
        <v>72</v>
      </c>
      <c r="J6" s="8" t="s">
        <v>73</v>
      </c>
      <c r="K6" s="8" t="s">
        <v>74</v>
      </c>
      <c r="L6" s="8" t="s">
        <v>75</v>
      </c>
      <c r="M6" s="9" t="b">
        <v>0</v>
      </c>
      <c r="N6" s="8" t="s">
        <v>43</v>
      </c>
      <c r="O6" s="8" t="s">
        <v>76</v>
      </c>
      <c r="P6" s="7" t="s">
        <v>111</v>
      </c>
    </row>
    <row r="7" spans="1:16" ht="43.5" customHeight="1" x14ac:dyDescent="0.25">
      <c r="A7" s="7" t="s">
        <v>112</v>
      </c>
      <c r="B7" s="7" t="s">
        <v>113</v>
      </c>
      <c r="C7" s="7" t="s">
        <v>66</v>
      </c>
      <c r="D7" s="7" t="s">
        <v>80</v>
      </c>
      <c r="E7" s="7" t="s">
        <v>114</v>
      </c>
      <c r="F7" s="7" t="s">
        <v>115</v>
      </c>
      <c r="G7" s="7" t="s">
        <v>116</v>
      </c>
      <c r="H7" s="10" t="s">
        <v>117</v>
      </c>
      <c r="I7" s="7" t="s">
        <v>72</v>
      </c>
      <c r="J7" s="8" t="s">
        <v>73</v>
      </c>
      <c r="K7" s="8" t="s">
        <v>74</v>
      </c>
      <c r="L7" s="8" t="s">
        <v>75</v>
      </c>
      <c r="M7" s="9" t="b">
        <v>0</v>
      </c>
      <c r="N7" s="8" t="s">
        <v>43</v>
      </c>
      <c r="O7" s="8" t="s">
        <v>76</v>
      </c>
      <c r="P7" s="7" t="s">
        <v>118</v>
      </c>
    </row>
    <row r="8" spans="1:16" ht="43.5" customHeight="1" x14ac:dyDescent="0.25">
      <c r="A8" s="7" t="s">
        <v>119</v>
      </c>
      <c r="B8" s="7" t="s">
        <v>120</v>
      </c>
      <c r="C8" s="7" t="s">
        <v>105</v>
      </c>
      <c r="D8" s="7" t="s">
        <v>121</v>
      </c>
      <c r="E8" s="7" t="s">
        <v>122</v>
      </c>
      <c r="F8" s="7" t="s">
        <v>123</v>
      </c>
      <c r="G8" s="7" t="s">
        <v>124</v>
      </c>
      <c r="H8" s="10" t="s">
        <v>125</v>
      </c>
      <c r="I8" s="7" t="s">
        <v>72</v>
      </c>
      <c r="J8" s="8" t="s">
        <v>73</v>
      </c>
      <c r="K8" s="8" t="s">
        <v>74</v>
      </c>
      <c r="L8" s="8" t="s">
        <v>75</v>
      </c>
      <c r="M8" s="9" t="b">
        <v>0</v>
      </c>
      <c r="N8" s="8" t="s">
        <v>43</v>
      </c>
      <c r="O8" s="8" t="s">
        <v>76</v>
      </c>
      <c r="P8" s="7" t="s">
        <v>126</v>
      </c>
    </row>
    <row r="9" spans="1:16" ht="43.5" customHeight="1" x14ac:dyDescent="0.25">
      <c r="A9" s="7" t="s">
        <v>127</v>
      </c>
      <c r="B9" s="7" t="s">
        <v>128</v>
      </c>
      <c r="C9" s="7" t="s">
        <v>105</v>
      </c>
      <c r="D9" s="7" t="s">
        <v>121</v>
      </c>
      <c r="E9" s="7" t="s">
        <v>129</v>
      </c>
      <c r="F9" s="7" t="s">
        <v>130</v>
      </c>
      <c r="G9" s="7" t="s">
        <v>131</v>
      </c>
      <c r="H9" s="10" t="s">
        <v>132</v>
      </c>
      <c r="I9" s="7" t="s">
        <v>72</v>
      </c>
      <c r="J9" s="8" t="s">
        <v>73</v>
      </c>
      <c r="K9" s="8" t="s">
        <v>74</v>
      </c>
      <c r="L9" s="8" t="s">
        <v>75</v>
      </c>
      <c r="M9" s="9" t="b">
        <v>0</v>
      </c>
      <c r="N9" s="8" t="s">
        <v>43</v>
      </c>
      <c r="O9" s="8" t="s">
        <v>76</v>
      </c>
      <c r="P9" s="7" t="s">
        <v>133</v>
      </c>
    </row>
    <row r="10" spans="1:16" ht="43.5" customHeight="1" x14ac:dyDescent="0.25">
      <c r="A10" s="7" t="s">
        <v>134</v>
      </c>
      <c r="B10" s="7" t="s">
        <v>135</v>
      </c>
      <c r="C10" s="7" t="s">
        <v>105</v>
      </c>
      <c r="D10" s="7" t="s">
        <v>106</v>
      </c>
      <c r="E10" s="7" t="s">
        <v>136</v>
      </c>
      <c r="F10" s="7" t="s">
        <v>137</v>
      </c>
      <c r="G10" s="7" t="s">
        <v>138</v>
      </c>
      <c r="H10" s="10" t="s">
        <v>84</v>
      </c>
      <c r="I10" s="7" t="s">
        <v>72</v>
      </c>
      <c r="J10" s="8" t="s">
        <v>73</v>
      </c>
      <c r="K10" s="8" t="s">
        <v>139</v>
      </c>
      <c r="L10" s="8" t="s">
        <v>75</v>
      </c>
      <c r="M10" s="9" t="b">
        <v>0</v>
      </c>
      <c r="N10" s="8" t="s">
        <v>45</v>
      </c>
      <c r="O10" s="12" t="s">
        <v>140</v>
      </c>
      <c r="P10" s="11" t="s">
        <v>141</v>
      </c>
    </row>
    <row r="11" spans="1:16" ht="43.5" customHeight="1" x14ac:dyDescent="0.25">
      <c r="A11" s="7" t="s">
        <v>142</v>
      </c>
      <c r="B11" s="7" t="s">
        <v>143</v>
      </c>
      <c r="C11" s="7" t="s">
        <v>97</v>
      </c>
      <c r="D11" s="7" t="s">
        <v>98</v>
      </c>
      <c r="E11" s="7" t="s">
        <v>144</v>
      </c>
      <c r="F11" s="7" t="s">
        <v>145</v>
      </c>
      <c r="G11" s="7" t="s">
        <v>146</v>
      </c>
      <c r="H11" s="10" t="s">
        <v>147</v>
      </c>
      <c r="I11" s="7" t="s">
        <v>93</v>
      </c>
      <c r="J11" s="8" t="s">
        <v>73</v>
      </c>
      <c r="K11" s="8" t="s">
        <v>139</v>
      </c>
      <c r="L11" s="8" t="s">
        <v>75</v>
      </c>
      <c r="M11" s="9" t="b">
        <v>0</v>
      </c>
      <c r="N11" s="8" t="s">
        <v>45</v>
      </c>
      <c r="O11" s="12" t="s">
        <v>140</v>
      </c>
      <c r="P11" s="11" t="s">
        <v>148</v>
      </c>
    </row>
    <row r="12" spans="1:16" ht="43.5" customHeight="1" x14ac:dyDescent="0.25">
      <c r="A12" s="7" t="s">
        <v>149</v>
      </c>
      <c r="B12" s="7" t="s">
        <v>150</v>
      </c>
      <c r="C12" s="7" t="s">
        <v>97</v>
      </c>
      <c r="D12" s="7" t="s">
        <v>151</v>
      </c>
      <c r="E12" s="7" t="s">
        <v>152</v>
      </c>
      <c r="F12" s="7" t="s">
        <v>153</v>
      </c>
      <c r="G12" s="7" t="s">
        <v>154</v>
      </c>
      <c r="H12" s="10" t="s">
        <v>155</v>
      </c>
      <c r="I12" s="7" t="s">
        <v>93</v>
      </c>
      <c r="J12" s="8" t="s">
        <v>73</v>
      </c>
      <c r="K12" s="8" t="s">
        <v>74</v>
      </c>
      <c r="L12" s="8" t="s">
        <v>75</v>
      </c>
      <c r="M12" s="9" t="b">
        <v>0</v>
      </c>
      <c r="N12" s="8" t="s">
        <v>45</v>
      </c>
      <c r="O12" s="8" t="s">
        <v>76</v>
      </c>
      <c r="P12" s="7" t="s">
        <v>156</v>
      </c>
    </row>
    <row r="13" spans="1:16" ht="43.5" customHeight="1" x14ac:dyDescent="0.25">
      <c r="A13" s="7" t="s">
        <v>157</v>
      </c>
      <c r="B13" s="7" t="s">
        <v>158</v>
      </c>
      <c r="C13" s="7" t="s">
        <v>97</v>
      </c>
      <c r="D13" s="7" t="s">
        <v>159</v>
      </c>
      <c r="E13" s="7" t="s">
        <v>160</v>
      </c>
      <c r="F13" s="7" t="s">
        <v>161</v>
      </c>
      <c r="G13" s="7" t="s">
        <v>162</v>
      </c>
      <c r="H13" s="10" t="s">
        <v>163</v>
      </c>
      <c r="I13" s="7" t="s">
        <v>93</v>
      </c>
      <c r="J13" s="8" t="s">
        <v>73</v>
      </c>
      <c r="K13" s="8" t="s">
        <v>74</v>
      </c>
      <c r="L13" s="8" t="s">
        <v>75</v>
      </c>
      <c r="M13" s="9" t="b">
        <v>0</v>
      </c>
      <c r="N13" s="8" t="s">
        <v>45</v>
      </c>
      <c r="O13" s="8" t="s">
        <v>76</v>
      </c>
      <c r="P13" s="7" t="s">
        <v>164</v>
      </c>
    </row>
    <row r="14" spans="1:16" ht="43.5" customHeight="1" x14ac:dyDescent="0.25">
      <c r="A14" s="7" t="s">
        <v>165</v>
      </c>
      <c r="B14" s="7" t="s">
        <v>166</v>
      </c>
      <c r="C14" s="7" t="s">
        <v>167</v>
      </c>
      <c r="D14" s="7" t="s">
        <v>98</v>
      </c>
      <c r="E14" s="7" t="s">
        <v>168</v>
      </c>
      <c r="F14" s="7" t="s">
        <v>169</v>
      </c>
      <c r="G14" s="7" t="s">
        <v>170</v>
      </c>
      <c r="H14" s="10" t="s">
        <v>171</v>
      </c>
      <c r="I14" s="7" t="s">
        <v>172</v>
      </c>
      <c r="J14" s="8" t="s">
        <v>73</v>
      </c>
      <c r="K14" s="8" t="s">
        <v>74</v>
      </c>
      <c r="L14" s="8" t="s">
        <v>75</v>
      </c>
      <c r="M14" s="9" t="b">
        <v>0</v>
      </c>
      <c r="N14" s="8" t="s">
        <v>45</v>
      </c>
      <c r="O14" s="8" t="s">
        <v>76</v>
      </c>
      <c r="P14" s="7" t="s">
        <v>173</v>
      </c>
    </row>
    <row r="15" spans="1:16" ht="43.5" customHeight="1" x14ac:dyDescent="0.25">
      <c r="A15" s="7" t="s">
        <v>174</v>
      </c>
      <c r="B15" s="7" t="s">
        <v>175</v>
      </c>
      <c r="C15" s="7" t="s">
        <v>167</v>
      </c>
      <c r="D15" s="7" t="s">
        <v>159</v>
      </c>
      <c r="E15" s="7" t="s">
        <v>176</v>
      </c>
      <c r="F15" s="7" t="s">
        <v>177</v>
      </c>
      <c r="G15" s="7" t="s">
        <v>178</v>
      </c>
      <c r="H15" s="10" t="s">
        <v>179</v>
      </c>
      <c r="I15" s="7" t="s">
        <v>172</v>
      </c>
      <c r="J15" s="8" t="s">
        <v>73</v>
      </c>
      <c r="K15" s="8" t="s">
        <v>74</v>
      </c>
      <c r="L15" s="8" t="s">
        <v>75</v>
      </c>
      <c r="M15" s="9" t="b">
        <v>0</v>
      </c>
      <c r="N15" s="8" t="s">
        <v>45</v>
      </c>
      <c r="O15" s="8" t="s">
        <v>76</v>
      </c>
      <c r="P15" s="7" t="s">
        <v>180</v>
      </c>
    </row>
    <row r="16" spans="1:16" ht="43.5" customHeight="1" x14ac:dyDescent="0.25">
      <c r="A16" s="7" t="s">
        <v>181</v>
      </c>
      <c r="B16" s="7" t="s">
        <v>182</v>
      </c>
      <c r="C16" s="7" t="s">
        <v>97</v>
      </c>
      <c r="D16" s="7" t="s">
        <v>80</v>
      </c>
      <c r="E16" s="7" t="s">
        <v>183</v>
      </c>
      <c r="F16" s="7" t="s">
        <v>184</v>
      </c>
      <c r="G16" s="7" t="s">
        <v>185</v>
      </c>
      <c r="H16" s="10" t="s">
        <v>117</v>
      </c>
      <c r="I16" s="7" t="s">
        <v>72</v>
      </c>
      <c r="J16" s="8" t="s">
        <v>73</v>
      </c>
      <c r="K16" s="8" t="s">
        <v>74</v>
      </c>
      <c r="L16" s="8" t="s">
        <v>75</v>
      </c>
      <c r="M16" s="9" t="b">
        <v>0</v>
      </c>
      <c r="N16" s="8" t="s">
        <v>47</v>
      </c>
      <c r="O16" s="8" t="s">
        <v>76</v>
      </c>
      <c r="P16" s="7" t="s">
        <v>186</v>
      </c>
    </row>
    <row r="17" spans="1:16" ht="43.5" customHeight="1" x14ac:dyDescent="0.25">
      <c r="A17" s="7" t="s">
        <v>187</v>
      </c>
      <c r="B17" s="7" t="s">
        <v>188</v>
      </c>
      <c r="C17" s="7" t="s">
        <v>97</v>
      </c>
      <c r="D17" s="7" t="s">
        <v>121</v>
      </c>
      <c r="E17" s="7" t="s">
        <v>189</v>
      </c>
      <c r="F17" s="7" t="s">
        <v>190</v>
      </c>
      <c r="G17" s="7" t="s">
        <v>191</v>
      </c>
      <c r="H17" s="10" t="s">
        <v>192</v>
      </c>
      <c r="I17" s="7" t="s">
        <v>172</v>
      </c>
      <c r="J17" s="8" t="s">
        <v>73</v>
      </c>
      <c r="K17" s="8" t="s">
        <v>74</v>
      </c>
      <c r="L17" s="8" t="s">
        <v>75</v>
      </c>
      <c r="M17" s="9" t="b">
        <v>0</v>
      </c>
      <c r="N17" s="8" t="s">
        <v>47</v>
      </c>
      <c r="O17" s="8" t="s">
        <v>76</v>
      </c>
      <c r="P17" s="7" t="s">
        <v>193</v>
      </c>
    </row>
    <row r="18" spans="1:16" ht="43.5" customHeight="1" x14ac:dyDescent="0.25">
      <c r="A18" s="7" t="s">
        <v>194</v>
      </c>
      <c r="B18" s="7" t="s">
        <v>195</v>
      </c>
      <c r="C18" s="7" t="s">
        <v>97</v>
      </c>
      <c r="D18" s="7" t="s">
        <v>121</v>
      </c>
      <c r="E18" s="7" t="s">
        <v>196</v>
      </c>
      <c r="F18" s="7" t="s">
        <v>197</v>
      </c>
      <c r="G18" s="7" t="s">
        <v>198</v>
      </c>
      <c r="H18" s="10" t="s">
        <v>199</v>
      </c>
      <c r="I18" s="7" t="s">
        <v>172</v>
      </c>
      <c r="J18" s="8" t="s">
        <v>73</v>
      </c>
      <c r="K18" s="8" t="s">
        <v>139</v>
      </c>
      <c r="L18" s="8" t="s">
        <v>75</v>
      </c>
      <c r="M18" s="9" t="b">
        <v>0</v>
      </c>
      <c r="N18" s="8" t="s">
        <v>47</v>
      </c>
      <c r="O18" s="12" t="s">
        <v>140</v>
      </c>
      <c r="P18" s="11" t="s">
        <v>200</v>
      </c>
    </row>
    <row r="19" spans="1:16" ht="43.5" customHeight="1" x14ac:dyDescent="0.25">
      <c r="A19" s="7" t="s">
        <v>201</v>
      </c>
      <c r="B19" s="7" t="s">
        <v>202</v>
      </c>
      <c r="C19" s="7" t="s">
        <v>97</v>
      </c>
      <c r="D19" s="7" t="s">
        <v>121</v>
      </c>
      <c r="E19" s="7" t="s">
        <v>203</v>
      </c>
      <c r="F19" s="7" t="s">
        <v>204</v>
      </c>
      <c r="G19" s="7" t="s">
        <v>205</v>
      </c>
      <c r="H19" s="10" t="s">
        <v>206</v>
      </c>
      <c r="I19" s="7" t="s">
        <v>172</v>
      </c>
      <c r="J19" s="13" t="s">
        <v>207</v>
      </c>
      <c r="K19" s="8" t="s">
        <v>74</v>
      </c>
      <c r="L19" s="8" t="s">
        <v>75</v>
      </c>
      <c r="M19" s="9" t="b">
        <v>0</v>
      </c>
      <c r="N19" s="8" t="s">
        <v>47</v>
      </c>
      <c r="O19" s="8" t="s">
        <v>76</v>
      </c>
      <c r="P19" s="7" t="s">
        <v>208</v>
      </c>
    </row>
    <row r="20" spans="1:16" ht="43.5" customHeight="1" x14ac:dyDescent="0.25">
      <c r="A20" s="7" t="s">
        <v>209</v>
      </c>
      <c r="B20" s="7" t="s">
        <v>210</v>
      </c>
      <c r="C20" s="7" t="s">
        <v>97</v>
      </c>
      <c r="D20" s="7" t="s">
        <v>121</v>
      </c>
      <c r="E20" s="7" t="s">
        <v>211</v>
      </c>
      <c r="F20" s="7" t="s">
        <v>212</v>
      </c>
      <c r="G20" s="7" t="s">
        <v>213</v>
      </c>
      <c r="H20" s="10" t="s">
        <v>214</v>
      </c>
      <c r="I20" s="7" t="s">
        <v>172</v>
      </c>
      <c r="J20" s="13" t="s">
        <v>207</v>
      </c>
      <c r="K20" s="8" t="s">
        <v>74</v>
      </c>
      <c r="L20" s="8" t="s">
        <v>75</v>
      </c>
      <c r="M20" s="9" t="b">
        <v>0</v>
      </c>
      <c r="N20" s="8" t="s">
        <v>47</v>
      </c>
      <c r="O20" s="8" t="s">
        <v>76</v>
      </c>
      <c r="P20" s="7" t="s">
        <v>215</v>
      </c>
    </row>
    <row r="21" spans="1:16" ht="43.5" customHeight="1" x14ac:dyDescent="0.25">
      <c r="A21" s="7" t="s">
        <v>216</v>
      </c>
      <c r="B21" s="7" t="s">
        <v>217</v>
      </c>
      <c r="C21" s="7" t="s">
        <v>97</v>
      </c>
      <c r="D21" s="7" t="s">
        <v>159</v>
      </c>
      <c r="E21" s="7" t="s">
        <v>218</v>
      </c>
      <c r="F21" s="7" t="s">
        <v>219</v>
      </c>
      <c r="G21" s="7" t="s">
        <v>220</v>
      </c>
      <c r="H21" s="10" t="s">
        <v>221</v>
      </c>
      <c r="I21" s="7" t="s">
        <v>172</v>
      </c>
      <c r="J21" s="8" t="s">
        <v>73</v>
      </c>
      <c r="K21" s="8" t="s">
        <v>74</v>
      </c>
      <c r="L21" s="8" t="s">
        <v>75</v>
      </c>
      <c r="M21" s="9" t="b">
        <v>0</v>
      </c>
      <c r="N21" s="8" t="s">
        <v>47</v>
      </c>
      <c r="O21" s="8" t="s">
        <v>76</v>
      </c>
      <c r="P21" s="7" t="s">
        <v>222</v>
      </c>
    </row>
    <row r="22" spans="1:16" ht="43.5" customHeight="1" x14ac:dyDescent="0.25">
      <c r="A22" s="7" t="s">
        <v>223</v>
      </c>
      <c r="B22" s="7" t="s">
        <v>224</v>
      </c>
      <c r="C22" s="7" t="s">
        <v>167</v>
      </c>
      <c r="D22" s="7" t="s">
        <v>159</v>
      </c>
      <c r="E22" s="7" t="s">
        <v>225</v>
      </c>
      <c r="F22" s="7" t="s">
        <v>226</v>
      </c>
      <c r="G22" s="7" t="s">
        <v>227</v>
      </c>
      <c r="H22" s="10" t="s">
        <v>221</v>
      </c>
      <c r="I22" s="7" t="s">
        <v>172</v>
      </c>
      <c r="J22" s="8" t="s">
        <v>73</v>
      </c>
      <c r="K22" s="8" t="s">
        <v>139</v>
      </c>
      <c r="L22" s="8" t="s">
        <v>75</v>
      </c>
      <c r="M22" s="9" t="b">
        <v>0</v>
      </c>
      <c r="N22" s="8" t="s">
        <v>47</v>
      </c>
      <c r="O22" s="12" t="s">
        <v>140</v>
      </c>
      <c r="P22" s="11" t="s">
        <v>228</v>
      </c>
    </row>
    <row r="23" spans="1:16" ht="43.5" customHeight="1" x14ac:dyDescent="0.25">
      <c r="A23" s="7" t="s">
        <v>229</v>
      </c>
      <c r="B23" s="7" t="s">
        <v>230</v>
      </c>
      <c r="C23" s="7" t="s">
        <v>97</v>
      </c>
      <c r="D23" s="7" t="s">
        <v>80</v>
      </c>
      <c r="E23" s="7" t="s">
        <v>231</v>
      </c>
      <c r="F23" s="7" t="s">
        <v>232</v>
      </c>
      <c r="G23" s="7" t="s">
        <v>233</v>
      </c>
      <c r="H23" s="10" t="s">
        <v>221</v>
      </c>
      <c r="I23" s="7" t="s">
        <v>172</v>
      </c>
      <c r="J23" s="8" t="s">
        <v>73</v>
      </c>
      <c r="K23" s="8" t="s">
        <v>74</v>
      </c>
      <c r="L23" s="8" t="s">
        <v>75</v>
      </c>
      <c r="M23" s="9" t="b">
        <v>0</v>
      </c>
      <c r="N23" s="8" t="s">
        <v>47</v>
      </c>
      <c r="O23" s="8" t="s">
        <v>76</v>
      </c>
      <c r="P23" s="7" t="s">
        <v>234</v>
      </c>
    </row>
    <row r="24" spans="1:16" ht="43.5" customHeight="1" x14ac:dyDescent="0.25">
      <c r="A24" s="7" t="s">
        <v>235</v>
      </c>
      <c r="B24" s="7" t="s">
        <v>236</v>
      </c>
      <c r="C24" s="7" t="s">
        <v>105</v>
      </c>
      <c r="D24" s="7" t="s">
        <v>67</v>
      </c>
      <c r="E24" s="7" t="s">
        <v>237</v>
      </c>
      <c r="F24" s="7" t="s">
        <v>238</v>
      </c>
      <c r="G24" s="7" t="s">
        <v>239</v>
      </c>
      <c r="H24" s="10" t="s">
        <v>240</v>
      </c>
      <c r="I24" s="7" t="s">
        <v>72</v>
      </c>
      <c r="J24" s="13" t="s">
        <v>207</v>
      </c>
      <c r="K24" s="8" t="s">
        <v>74</v>
      </c>
      <c r="L24" s="8" t="s">
        <v>75</v>
      </c>
      <c r="M24" s="9" t="b">
        <v>0</v>
      </c>
      <c r="N24" s="8" t="s">
        <v>49</v>
      </c>
      <c r="O24" s="8" t="s">
        <v>76</v>
      </c>
      <c r="P24" s="7" t="s">
        <v>241</v>
      </c>
    </row>
    <row r="25" spans="1:16" ht="43.5" customHeight="1" x14ac:dyDescent="0.25">
      <c r="A25" s="7" t="s">
        <v>242</v>
      </c>
      <c r="B25" s="7" t="s">
        <v>243</v>
      </c>
      <c r="C25" s="7" t="s">
        <v>66</v>
      </c>
      <c r="D25" s="7" t="s">
        <v>67</v>
      </c>
      <c r="E25" s="7" t="s">
        <v>244</v>
      </c>
      <c r="F25" s="7" t="s">
        <v>245</v>
      </c>
      <c r="G25" s="7" t="s">
        <v>246</v>
      </c>
      <c r="H25" s="10" t="s">
        <v>84</v>
      </c>
      <c r="I25" s="7" t="s">
        <v>72</v>
      </c>
      <c r="J25" s="8" t="s">
        <v>73</v>
      </c>
      <c r="K25" s="8" t="s">
        <v>139</v>
      </c>
      <c r="L25" s="8" t="s">
        <v>75</v>
      </c>
      <c r="M25" s="9" t="b">
        <v>0</v>
      </c>
      <c r="N25" s="8" t="s">
        <v>49</v>
      </c>
      <c r="O25" s="12" t="s">
        <v>140</v>
      </c>
      <c r="P25" s="11" t="s">
        <v>247</v>
      </c>
    </row>
    <row r="26" spans="1:16" ht="43.5" customHeight="1" x14ac:dyDescent="0.25">
      <c r="A26" s="7" t="s">
        <v>248</v>
      </c>
      <c r="B26" s="7" t="s">
        <v>249</v>
      </c>
      <c r="C26" s="7" t="s">
        <v>66</v>
      </c>
      <c r="D26" s="7" t="s">
        <v>67</v>
      </c>
      <c r="E26" s="7" t="s">
        <v>250</v>
      </c>
      <c r="F26" s="7" t="s">
        <v>251</v>
      </c>
      <c r="G26" s="7" t="s">
        <v>252</v>
      </c>
      <c r="H26" s="10" t="s">
        <v>253</v>
      </c>
      <c r="I26" s="7" t="s">
        <v>72</v>
      </c>
      <c r="J26" s="8" t="s">
        <v>73</v>
      </c>
      <c r="K26" s="8" t="s">
        <v>74</v>
      </c>
      <c r="L26" s="8" t="s">
        <v>75</v>
      </c>
      <c r="M26" s="9" t="b">
        <v>0</v>
      </c>
      <c r="N26" s="8" t="s">
        <v>49</v>
      </c>
      <c r="O26" s="8" t="s">
        <v>76</v>
      </c>
      <c r="P26" s="7" t="s">
        <v>254</v>
      </c>
    </row>
    <row r="27" spans="1:16" ht="43.5" customHeight="1" x14ac:dyDescent="0.25">
      <c r="A27" s="7" t="s">
        <v>255</v>
      </c>
      <c r="B27" s="7" t="s">
        <v>256</v>
      </c>
      <c r="C27" s="7" t="s">
        <v>66</v>
      </c>
      <c r="D27" s="7" t="s">
        <v>80</v>
      </c>
      <c r="E27" s="7" t="s">
        <v>257</v>
      </c>
      <c r="F27" s="7" t="s">
        <v>258</v>
      </c>
      <c r="G27" s="7" t="s">
        <v>259</v>
      </c>
      <c r="H27" s="10" t="s">
        <v>260</v>
      </c>
      <c r="I27" s="7" t="s">
        <v>72</v>
      </c>
      <c r="J27" s="8" t="s">
        <v>73</v>
      </c>
      <c r="K27" s="8" t="s">
        <v>74</v>
      </c>
      <c r="L27" s="8" t="s">
        <v>75</v>
      </c>
      <c r="M27" s="9" t="b">
        <v>0</v>
      </c>
      <c r="N27" s="8" t="s">
        <v>49</v>
      </c>
      <c r="O27" s="8" t="s">
        <v>76</v>
      </c>
      <c r="P27" s="7" t="s">
        <v>261</v>
      </c>
    </row>
    <row r="28" spans="1:16" ht="43.5" customHeight="1" x14ac:dyDescent="0.25">
      <c r="A28" s="7" t="s">
        <v>262</v>
      </c>
      <c r="B28" s="7" t="s">
        <v>263</v>
      </c>
      <c r="C28" s="7" t="s">
        <v>66</v>
      </c>
      <c r="D28" s="7" t="s">
        <v>80</v>
      </c>
      <c r="E28" s="7" t="s">
        <v>264</v>
      </c>
      <c r="F28" s="7" t="s">
        <v>265</v>
      </c>
      <c r="G28" s="7" t="s">
        <v>266</v>
      </c>
      <c r="H28" s="10" t="s">
        <v>267</v>
      </c>
      <c r="I28" s="7" t="s">
        <v>72</v>
      </c>
      <c r="J28" s="8" t="s">
        <v>73</v>
      </c>
      <c r="K28" s="8" t="s">
        <v>74</v>
      </c>
      <c r="L28" s="8" t="s">
        <v>75</v>
      </c>
      <c r="M28" s="9" t="b">
        <v>0</v>
      </c>
      <c r="N28" s="8" t="s">
        <v>49</v>
      </c>
      <c r="O28" s="8" t="s">
        <v>76</v>
      </c>
      <c r="P28" s="7" t="s">
        <v>268</v>
      </c>
    </row>
    <row r="29" spans="1:16" ht="43.5" customHeight="1" x14ac:dyDescent="0.25">
      <c r="A29" s="7" t="s">
        <v>269</v>
      </c>
      <c r="B29" s="7" t="s">
        <v>270</v>
      </c>
      <c r="C29" s="7" t="s">
        <v>66</v>
      </c>
      <c r="D29" s="7" t="s">
        <v>80</v>
      </c>
      <c r="E29" s="7" t="s">
        <v>271</v>
      </c>
      <c r="F29" s="7" t="s">
        <v>272</v>
      </c>
      <c r="G29" s="7" t="s">
        <v>273</v>
      </c>
      <c r="H29" s="10" t="s">
        <v>274</v>
      </c>
      <c r="I29" s="7" t="s">
        <v>172</v>
      </c>
      <c r="J29" s="8" t="s">
        <v>73</v>
      </c>
      <c r="K29" s="8" t="s">
        <v>139</v>
      </c>
      <c r="L29" s="8" t="s">
        <v>75</v>
      </c>
      <c r="M29" s="9" t="b">
        <v>0</v>
      </c>
      <c r="N29" s="8" t="s">
        <v>49</v>
      </c>
      <c r="O29" s="12" t="s">
        <v>140</v>
      </c>
      <c r="P29" s="11" t="s">
        <v>275</v>
      </c>
    </row>
    <row r="30" spans="1:16" ht="43.5" customHeight="1" x14ac:dyDescent="0.25">
      <c r="A30" s="7" t="s">
        <v>276</v>
      </c>
      <c r="B30" s="7" t="s">
        <v>277</v>
      </c>
      <c r="C30" s="7" t="s">
        <v>97</v>
      </c>
      <c r="D30" s="7" t="s">
        <v>98</v>
      </c>
      <c r="E30" s="7" t="s">
        <v>278</v>
      </c>
      <c r="F30" s="7" t="s">
        <v>279</v>
      </c>
      <c r="G30" s="7" t="s">
        <v>280</v>
      </c>
      <c r="H30" s="10" t="s">
        <v>92</v>
      </c>
      <c r="I30" s="7" t="s">
        <v>93</v>
      </c>
      <c r="J30" s="8" t="s">
        <v>73</v>
      </c>
      <c r="K30" s="8" t="s">
        <v>74</v>
      </c>
      <c r="L30" s="8" t="s">
        <v>75</v>
      </c>
      <c r="M30" s="9" t="b">
        <v>0</v>
      </c>
      <c r="N30" s="8" t="s">
        <v>51</v>
      </c>
      <c r="O30" s="8" t="s">
        <v>76</v>
      </c>
      <c r="P30" s="7" t="s">
        <v>281</v>
      </c>
    </row>
    <row r="31" spans="1:16" ht="43.5" customHeight="1" x14ac:dyDescent="0.25">
      <c r="A31" s="7" t="s">
        <v>282</v>
      </c>
      <c r="B31" s="7" t="s">
        <v>283</v>
      </c>
      <c r="C31" s="7" t="s">
        <v>167</v>
      </c>
      <c r="D31" s="7" t="s">
        <v>98</v>
      </c>
      <c r="E31" s="7" t="s">
        <v>284</v>
      </c>
      <c r="F31" s="7" t="s">
        <v>285</v>
      </c>
      <c r="G31" s="7" t="s">
        <v>286</v>
      </c>
      <c r="H31" s="10" t="s">
        <v>147</v>
      </c>
      <c r="I31" s="7" t="s">
        <v>93</v>
      </c>
      <c r="J31" s="8" t="s">
        <v>73</v>
      </c>
      <c r="K31" s="8" t="s">
        <v>74</v>
      </c>
      <c r="L31" s="8" t="s">
        <v>75</v>
      </c>
      <c r="M31" s="9" t="b">
        <v>0</v>
      </c>
      <c r="N31" s="8" t="s">
        <v>51</v>
      </c>
      <c r="O31" s="8" t="s">
        <v>76</v>
      </c>
      <c r="P31" s="7" t="s">
        <v>287</v>
      </c>
    </row>
    <row r="32" spans="1:16" ht="43.5" customHeight="1" x14ac:dyDescent="0.25">
      <c r="A32" s="7" t="s">
        <v>288</v>
      </c>
      <c r="B32" s="7" t="s">
        <v>289</v>
      </c>
      <c r="C32" s="7" t="s">
        <v>167</v>
      </c>
      <c r="D32" s="7" t="s">
        <v>98</v>
      </c>
      <c r="E32" s="7" t="s">
        <v>290</v>
      </c>
      <c r="F32" s="7" t="s">
        <v>291</v>
      </c>
      <c r="G32" s="7" t="s">
        <v>292</v>
      </c>
      <c r="H32" s="10" t="s">
        <v>155</v>
      </c>
      <c r="I32" s="7" t="s">
        <v>93</v>
      </c>
      <c r="J32" s="8" t="s">
        <v>73</v>
      </c>
      <c r="K32" s="8" t="s">
        <v>74</v>
      </c>
      <c r="L32" s="8" t="s">
        <v>75</v>
      </c>
      <c r="M32" s="9" t="b">
        <v>0</v>
      </c>
      <c r="N32" s="8" t="s">
        <v>51</v>
      </c>
      <c r="O32" s="8" t="s">
        <v>76</v>
      </c>
      <c r="P32" s="7" t="s">
        <v>293</v>
      </c>
    </row>
    <row r="33" spans="1:16" ht="43.5" customHeight="1" x14ac:dyDescent="0.25">
      <c r="A33" s="7" t="s">
        <v>294</v>
      </c>
      <c r="B33" s="7" t="s">
        <v>295</v>
      </c>
      <c r="C33" s="7" t="s">
        <v>167</v>
      </c>
      <c r="D33" s="7" t="s">
        <v>159</v>
      </c>
      <c r="E33" s="7" t="s">
        <v>296</v>
      </c>
      <c r="F33" s="7" t="s">
        <v>297</v>
      </c>
      <c r="G33" s="7" t="s">
        <v>298</v>
      </c>
      <c r="H33" s="10" t="s">
        <v>163</v>
      </c>
      <c r="I33" s="7" t="s">
        <v>93</v>
      </c>
      <c r="J33" s="8" t="s">
        <v>73</v>
      </c>
      <c r="K33" s="8" t="s">
        <v>74</v>
      </c>
      <c r="L33" s="8" t="s">
        <v>75</v>
      </c>
      <c r="M33" s="9" t="b">
        <v>0</v>
      </c>
      <c r="N33" s="8" t="s">
        <v>51</v>
      </c>
      <c r="O33" s="8" t="s">
        <v>76</v>
      </c>
      <c r="P33" s="7" t="s">
        <v>299</v>
      </c>
    </row>
    <row r="34" spans="1:16" ht="43.5" customHeight="1" x14ac:dyDescent="0.25">
      <c r="A34" s="7" t="s">
        <v>300</v>
      </c>
      <c r="B34" s="7" t="s">
        <v>301</v>
      </c>
      <c r="C34" s="7" t="s">
        <v>167</v>
      </c>
      <c r="D34" s="7" t="s">
        <v>159</v>
      </c>
      <c r="E34" s="7" t="s">
        <v>302</v>
      </c>
      <c r="F34" s="7" t="s">
        <v>303</v>
      </c>
      <c r="G34" s="7" t="s">
        <v>304</v>
      </c>
      <c r="H34" s="10" t="s">
        <v>305</v>
      </c>
      <c r="I34" s="7" t="s">
        <v>93</v>
      </c>
      <c r="J34" s="8" t="s">
        <v>73</v>
      </c>
      <c r="K34" s="8" t="s">
        <v>74</v>
      </c>
      <c r="L34" s="8" t="s">
        <v>75</v>
      </c>
      <c r="M34" s="9" t="b">
        <v>0</v>
      </c>
      <c r="N34" s="8" t="s">
        <v>51</v>
      </c>
      <c r="O34" s="8" t="s">
        <v>76</v>
      </c>
      <c r="P34" s="7" t="s">
        <v>306</v>
      </c>
    </row>
    <row r="35" spans="1:16" ht="43.5" customHeight="1" x14ac:dyDescent="0.25">
      <c r="A35" s="7" t="s">
        <v>307</v>
      </c>
      <c r="B35" s="7" t="s">
        <v>308</v>
      </c>
      <c r="C35" s="7" t="s">
        <v>167</v>
      </c>
      <c r="D35" s="7" t="s">
        <v>98</v>
      </c>
      <c r="E35" s="7" t="s">
        <v>309</v>
      </c>
      <c r="F35" s="7" t="s">
        <v>310</v>
      </c>
      <c r="G35" s="7" t="s">
        <v>311</v>
      </c>
      <c r="H35" s="10" t="s">
        <v>171</v>
      </c>
      <c r="I35" s="7" t="s">
        <v>172</v>
      </c>
      <c r="J35" s="8" t="s">
        <v>73</v>
      </c>
      <c r="K35" s="8" t="s">
        <v>74</v>
      </c>
      <c r="L35" s="8" t="s">
        <v>75</v>
      </c>
      <c r="M35" s="9" t="b">
        <v>0</v>
      </c>
      <c r="N35" s="8" t="s">
        <v>51</v>
      </c>
      <c r="O35" s="8" t="s">
        <v>76</v>
      </c>
      <c r="P35" s="7" t="s">
        <v>312</v>
      </c>
    </row>
    <row r="36" spans="1:16" ht="43.5" customHeight="1" x14ac:dyDescent="0.25">
      <c r="A36" s="7" t="s">
        <v>313</v>
      </c>
      <c r="B36" s="7" t="s">
        <v>314</v>
      </c>
      <c r="C36" s="7" t="s">
        <v>315</v>
      </c>
      <c r="D36" s="7" t="s">
        <v>67</v>
      </c>
      <c r="E36" s="7" t="s">
        <v>316</v>
      </c>
      <c r="F36" s="7" t="s">
        <v>317</v>
      </c>
      <c r="G36" s="7" t="s">
        <v>318</v>
      </c>
      <c r="H36" s="10" t="s">
        <v>319</v>
      </c>
      <c r="I36" s="7" t="s">
        <v>72</v>
      </c>
      <c r="J36" s="13" t="s">
        <v>207</v>
      </c>
      <c r="K36" s="8" t="s">
        <v>74</v>
      </c>
      <c r="L36" s="8" t="s">
        <v>75</v>
      </c>
      <c r="M36" s="14" t="b">
        <v>1</v>
      </c>
      <c r="N36" s="15" t="s">
        <v>28</v>
      </c>
      <c r="O36" s="8" t="s">
        <v>76</v>
      </c>
      <c r="P36" s="7" t="s">
        <v>320</v>
      </c>
    </row>
    <row r="37" spans="1:16" ht="43.5" customHeight="1" x14ac:dyDescent="0.25">
      <c r="A37" s="7" t="s">
        <v>321</v>
      </c>
      <c r="B37" s="7" t="s">
        <v>322</v>
      </c>
      <c r="C37" s="7" t="s">
        <v>66</v>
      </c>
      <c r="D37" s="7" t="s">
        <v>159</v>
      </c>
      <c r="E37" s="7" t="s">
        <v>323</v>
      </c>
      <c r="F37" s="7" t="s">
        <v>324</v>
      </c>
      <c r="G37" s="7" t="s">
        <v>325</v>
      </c>
      <c r="H37" s="10" t="s">
        <v>163</v>
      </c>
      <c r="I37" s="7" t="s">
        <v>93</v>
      </c>
      <c r="J37" s="8" t="s">
        <v>73</v>
      </c>
      <c r="K37" s="8" t="s">
        <v>139</v>
      </c>
      <c r="L37" s="8" t="s">
        <v>75</v>
      </c>
      <c r="M37" s="14" t="b">
        <v>1</v>
      </c>
      <c r="N37" s="15" t="s">
        <v>28</v>
      </c>
      <c r="O37" s="12" t="s">
        <v>140</v>
      </c>
      <c r="P37" s="11" t="s">
        <v>326</v>
      </c>
    </row>
  </sheetData>
  <dataValidations count="6">
    <dataValidation type="list" sqref="J2:J200" xr:uid="{00000000-0002-0000-0100-000000000000}">
      <formula1>"L0,L1,L2"</formula1>
    </dataValidation>
    <dataValidation type="list" sqref="K2:K200" xr:uid="{00000000-0002-0000-0100-000001000000}">
      <formula1>"low,medium,high"</formula1>
    </dataValidation>
    <dataValidation type="list" sqref="L2:L200" xr:uid="{00000000-0002-0000-0100-000002000000}">
      <formula1>"high,medium,low"</formula1>
    </dataValidation>
    <dataValidation type="list" sqref="M2:M200" xr:uid="{00000000-0002-0000-0100-000003000000}">
      <formula1>"TRUE,FALSE"</formula1>
    </dataValidation>
    <dataValidation type="list" sqref="N2:N200" xr:uid="{00000000-0002-0000-0100-000004000000}">
      <formula1>"clear_single_word,multi_word_accepted,local_terminology,technical_culinary,cultural_heritage,numeric_answer"</formula1>
    </dataValidation>
    <dataValidation type="list" sqref="O2:O200" xr:uid="{00000000-0002-0000-0100-000005000000}">
      <formula1>"dev_ready,review_required,excluded"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showGridLines="0" workbookViewId="0">
      <selection sqref="A1:D1"/>
    </sheetView>
  </sheetViews>
  <sheetFormatPr defaultRowHeight="15" x14ac:dyDescent="0.25"/>
  <cols>
    <col min="1" max="1" width="31.25" customWidth="1"/>
    <col min="2" max="4" width="16.25" customWidth="1"/>
  </cols>
  <sheetData>
    <row r="1" spans="1:4" ht="27" customHeight="1" x14ac:dyDescent="0.25">
      <c r="A1" s="18" t="s">
        <v>327</v>
      </c>
      <c r="B1" s="18"/>
      <c r="C1" s="18"/>
      <c r="D1" s="18"/>
    </row>
    <row r="3" spans="1:4" x14ac:dyDescent="0.25">
      <c r="A3" s="3" t="s">
        <v>328</v>
      </c>
      <c r="B3" s="3" t="s">
        <v>41</v>
      </c>
      <c r="C3" s="3" t="s">
        <v>329</v>
      </c>
      <c r="D3" s="3" t="s">
        <v>330</v>
      </c>
    </row>
    <row r="4" spans="1:4" x14ac:dyDescent="0.25">
      <c r="A4" t="s">
        <v>43</v>
      </c>
      <c r="B4">
        <v>8</v>
      </c>
      <c r="C4">
        <f>COUNTIF(Dev_Items!$N$2:$N$37,A4)</f>
        <v>8</v>
      </c>
      <c r="D4" s="17" t="str">
        <f t="shared" ref="D4:D9" si="0">IF(B4=C4,"PASS","CHECK")</f>
        <v>PASS</v>
      </c>
    </row>
    <row r="5" spans="1:4" x14ac:dyDescent="0.25">
      <c r="A5" t="s">
        <v>45</v>
      </c>
      <c r="B5">
        <v>6</v>
      </c>
      <c r="C5">
        <f>COUNTIF(Dev_Items!$N$2:$N$37,A5)</f>
        <v>6</v>
      </c>
      <c r="D5" s="17" t="str">
        <f t="shared" si="0"/>
        <v>PASS</v>
      </c>
    </row>
    <row r="6" spans="1:4" x14ac:dyDescent="0.25">
      <c r="A6" t="s">
        <v>47</v>
      </c>
      <c r="B6">
        <v>8</v>
      </c>
      <c r="C6">
        <f>COUNTIF(Dev_Items!$N$2:$N$37,A6)</f>
        <v>8</v>
      </c>
      <c r="D6" s="17" t="str">
        <f t="shared" si="0"/>
        <v>PASS</v>
      </c>
    </row>
    <row r="7" spans="1:4" x14ac:dyDescent="0.25">
      <c r="A7" t="s">
        <v>49</v>
      </c>
      <c r="B7">
        <v>6</v>
      </c>
      <c r="C7">
        <f>COUNTIF(Dev_Items!$N$2:$N$37,A7)</f>
        <v>6</v>
      </c>
      <c r="D7" s="17" t="str">
        <f t="shared" si="0"/>
        <v>PASS</v>
      </c>
    </row>
    <row r="8" spans="1:4" x14ac:dyDescent="0.25">
      <c r="A8" t="s">
        <v>51</v>
      </c>
      <c r="B8">
        <v>6</v>
      </c>
      <c r="C8">
        <f>COUNTIF(Dev_Items!$N$2:$N$37,A8)</f>
        <v>6</v>
      </c>
      <c r="D8" s="17" t="str">
        <f t="shared" si="0"/>
        <v>PASS</v>
      </c>
    </row>
    <row r="9" spans="1:4" x14ac:dyDescent="0.25">
      <c r="A9" t="s">
        <v>28</v>
      </c>
      <c r="B9">
        <v>2</v>
      </c>
      <c r="C9">
        <f>COUNTIF(Dev_Items!$N$2:$N$37,A9)</f>
        <v>2</v>
      </c>
      <c r="D9" s="17" t="str">
        <f t="shared" si="0"/>
        <v>PASS</v>
      </c>
    </row>
    <row r="10" spans="1:4" x14ac:dyDescent="0.25">
      <c r="D10" s="17"/>
    </row>
    <row r="11" spans="1:4" x14ac:dyDescent="0.25">
      <c r="A11" s="3" t="s">
        <v>331</v>
      </c>
      <c r="B11" s="3" t="s">
        <v>332</v>
      </c>
      <c r="C11" s="3" t="s">
        <v>329</v>
      </c>
      <c r="D11" s="16" t="s">
        <v>330</v>
      </c>
    </row>
    <row r="12" spans="1:4" x14ac:dyDescent="0.25">
      <c r="A12" t="s">
        <v>333</v>
      </c>
      <c r="B12">
        <v>36</v>
      </c>
      <c r="C12">
        <f>COUNTA(Dev_Items!$A$2:$A$37)</f>
        <v>36</v>
      </c>
      <c r="D12" s="17" t="str">
        <f>IF(B12=C12,"PASS","CHECK")</f>
        <v>PASS</v>
      </c>
    </row>
    <row r="13" spans="1:4" x14ac:dyDescent="0.25">
      <c r="A13" t="s">
        <v>334</v>
      </c>
      <c r="B13">
        <v>0</v>
      </c>
      <c r="C13">
        <f>COUNTIF(Dev_Items!$J$2:$J$37,"L2")</f>
        <v>0</v>
      </c>
      <c r="D13" s="17" t="str">
        <f>IF(B13=C13,"PASS","CHECK")</f>
        <v>PASS</v>
      </c>
    </row>
    <row r="14" spans="1:4" x14ac:dyDescent="0.25">
      <c r="A14" t="s">
        <v>335</v>
      </c>
      <c r="B14" t="s">
        <v>336</v>
      </c>
      <c r="C14">
        <f>COUNTIF(Dev_Items!$J$2:$J$37,"L1")</f>
        <v>4</v>
      </c>
      <c r="D14" s="17" t="str">
        <f>IF(C14&gt;=2,"PASS","CHECK")</f>
        <v>PASS</v>
      </c>
    </row>
    <row r="15" spans="1:4" x14ac:dyDescent="0.25">
      <c r="A15" t="s">
        <v>337</v>
      </c>
      <c r="B15">
        <v>2</v>
      </c>
      <c r="C15">
        <f>COUNTIF(Dev_Items!$N$2:$N$37,"numeric_answer")</f>
        <v>2</v>
      </c>
      <c r="D15" s="17" t="str">
        <f>IF(B15=C15,"PASS","CHECK")</f>
        <v>PASS</v>
      </c>
    </row>
    <row r="16" spans="1:4" x14ac:dyDescent="0.25">
      <c r="A16" t="s">
        <v>140</v>
      </c>
      <c r="B16" t="s">
        <v>338</v>
      </c>
      <c r="C16">
        <f>COUNTIF(Dev_Items!$O$2:$O$37,"review_required")</f>
        <v>7</v>
      </c>
      <c r="D16" s="17" t="str">
        <f>IF(C16&gt;0,"PASS","CHECK")</f>
        <v>PASS</v>
      </c>
    </row>
    <row r="17" spans="1:4" x14ac:dyDescent="0.25">
      <c r="A17" t="s">
        <v>339</v>
      </c>
      <c r="B17">
        <v>36</v>
      </c>
      <c r="C17">
        <f>COUNTA(Dev_Items!$H$2:$H$37)</f>
        <v>36</v>
      </c>
      <c r="D17" s="17" t="str">
        <f>IF(B17=C17,"PASS","CHECK")</f>
        <v>PASS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README</vt:lpstr>
      <vt:lpstr>Dev_Items</vt:lpstr>
      <vt:lpstr>QA_Summary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M. Buğra YILMAZ</cp:lastModifiedBy>
  <dcterms:modified xsi:type="dcterms:W3CDTF">2026-08-25T06:56:20Z</dcterms:modified>
</cp:coreProperties>
</file>