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8e47ed7a8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c818e7550794ffe"/>
    <x:sheet xmlns:r="http://schemas.openxmlformats.org/officeDocument/2006/relationships" name="Dev_Items" sheetId="2" r:id="Rbfc7b53c0ac04058"/>
    <x:sheet xmlns:r="http://schemas.openxmlformats.org/officeDocument/2006/relationships" name="QA_Summary" sheetId="3" r:id="R55da897788314a3b"/>
    <x:sheet xmlns:r="http://schemas.openxmlformats.org/officeDocument/2006/relationships" name="Freeze_Record" sheetId="4" r:id="R9578f22b5bf84f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53B5B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1E2D36"/>
      <x:name val="Carlito"/>
    </x:font>
    <x:font>
      <x:sz val="9"/>
      <x:color rgb="FF1B5E8A"/>
      <x:name val="Carlito"/>
    </x:font>
    <x:font>
      <x:b/>
      <x:sz val="9"/>
      <x:color rgb="FF2D6A4F"/>
      <x:name val="Carlito"/>
    </x:font>
    <x:font>
      <x:b/>
      <x:sz val="9"/>
      <x:color rgb="FF5E3C99"/>
      <x:name val="Carlito"/>
    </x:font>
    <x:font>
      <x:b/>
      <x:sz val="11"/>
      <x:color rgb="FF2D6A4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53B5B"/>
      </x:patternFill>
    </x:fill>
    <x:fill>
      <x:patternFill patternType="solid">
        <x:fgColor rgb="FFD9EAF3"/>
      </x:patternFill>
    </x:fill>
    <x:fill>
      <x:patternFill patternType="solid">
        <x:fgColor rgb="FF2D6A4F"/>
      </x:patternFill>
    </x:fill>
    <x:fill>
      <x:patternFill patternType="solid">
        <x:fgColor rgb="FFDFF3E4"/>
      </x:patternFill>
    </x:fill>
    <x:fill>
      <x:patternFill patternType="solid">
        <x:fgColor rgb="FFFFF1CC"/>
      </x:patternFill>
    </x:fill>
    <x:fill>
      <x:patternFill patternType="solid">
        <x:fgColor rgb="FFE8E1F5"/>
      </x:patternFill>
    </x:fill>
  </x:fills>
  <x:borders count="4">
    <x:border/>
    <x:border>
      <x:left style="medium">
        <x:color rgb="FF153B5B"/>
      </x:left>
      <x:top style="medium">
        <x:color rgb="FF153B5B"/>
      </x:top>
      <x:bottom style="medium">
        <x:color rgb="FF153B5B"/>
      </x:bottom>
    </x:border>
    <x:border>
      <x:top style="medium">
        <x:color rgb="FF153B5B"/>
      </x:top>
      <x:bottom style="medium">
        <x:color rgb="FF153B5B"/>
      </x:bottom>
    </x:border>
    <x:border>
      <x:right style="medium">
        <x:color rgb="FF153B5B"/>
      </x:right>
      <x:top style="medium">
        <x:color rgb="FF153B5B"/>
      </x:top>
      <x:bottom style="medium">
        <x:color rgb="FF153B5B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6" borderId="0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8" fillId="7" borderId="0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a90b0a31814889" /><Relationship Type="http://schemas.openxmlformats.org/officeDocument/2006/relationships/theme" Target="/xl/theme/theme1.xml" Id="R4e44dca7031444f4" /><Relationship Type="http://schemas.microsoft.com/office/2022/11/relationships/FeaturePropertyBag" Target="/xl/featurePropertyBag/featurePropertyBag.xml" Id="R927f9641f1904bd2" /><Relationship Type="http://schemas.openxmlformats.org/officeDocument/2006/relationships/sharedStrings" Target="/xl/sharedStrings.xml" Id="R25f7c3074ebb4931" /><Relationship Type="http://schemas.openxmlformats.org/officeDocument/2006/relationships/worksheet" Target="/xl/worksheets/sheet1.xml" Id="R5c818e7550794ffe" /><Relationship Type="http://schemas.openxmlformats.org/officeDocument/2006/relationships/worksheet" Target="/xl/worksheets/sheet2.xml" Id="Rbfc7b53c0ac04058" /><Relationship Type="http://schemas.openxmlformats.org/officeDocument/2006/relationships/worksheet" Target="/xl/worksheets/sheet3.xml" Id="R55da897788314a3b" /><Relationship Type="http://schemas.openxmlformats.org/officeDocument/2006/relationships/worksheet" Target="/xl/worksheets/sheet4.xml" Id="R9578f22b5bf84f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vItemsFrozenTable" displayName="DevItemsFrozenTable" ref="A1:P37" headerRowCount="1" totalsRowCount="0" totalsRowShown="0">
  <x:tableColumns count="16">
    <x:tableColumn id="1" name="item_id"/>
    <x:tableColumn id="2" name="source_fact_id"/>
    <x:tableColumn id="3" name="knowledge_domain"/>
    <x:tableColumn id="4" name="knowledge_specificity"/>
    <x:tableColumn id="5" name="question_tr"/>
    <x:tableColumn id="6" name="gold_answer"/>
    <x:tableColumn id="7" name="accepted_answers"/>
    <x:tableColumn id="8" name="source_url"/>
    <x:tableColumn id="9" name="source_type"/>
    <x:tableColumn id="10" name="lexical_leakage"/>
    <x:tableColumn id="11" name="ambiguity_risk"/>
    <x:tableColumn id="12" name="temporal_stability"/>
    <x:tableColumn id="13" name="numeric_answer"/>
    <x:tableColumn id="14" name="dev_case_type"/>
    <x:tableColumn id="15" name="item_status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be6f3ee2464c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65" hidden="0" customWidth="1"/>
    <x:col min="3" max="3" width="38.75" hidden="0" customWidth="1"/>
    <x:col min="4" max="4" width="33.75" hidden="0" customWidth="1"/>
  </x:cols>
  <x:sheetData>
    <x:row r="1" ht="28.5" customHeight="1">
      <x:c r="A1" s="3" t="str">
        <x:v>TurkCuisineBench-Dev v0.2 — Frozen</x:v>
      </x:c>
      <x:c r="B1" s="3"/>
      <x:c r="C1" s="3"/>
      <x:c r="D1" s="3"/>
    </x:row>
    <x:row r="3">
      <x:c r="A3" s="6" t="str">
        <x:v>Version</x:v>
      </x:c>
      <x:c r="B3" s="7" t="str">
        <x:v>v0.2 (frozen)</x:v>
      </x:c>
      <x:c r="C3" s="12"/>
      <x:c r="D3" s="12"/>
    </x:row>
    <x:row r="4">
      <x:c r="A4" s="6" t="str">
        <x:v>Freeze date</x:v>
      </x:c>
      <x:c r="B4" s="7" t="str">
        <x:v>2026-08-25</x:v>
      </x:c>
      <x:c r="C4" s="12"/>
      <x:c r="D4" s="12"/>
    </x:row>
    <x:row r="5">
      <x:c r="A5" s="6" t="str">
        <x:v>Purpose</x:v>
      </x:c>
      <x:c r="B5" s="7" t="str">
        <x:v>Development-only set for prompt, parser, normalization, abstention, and scoring-pipeline testing.</x:v>
      </x:c>
      <x:c r="C5" s="12"/>
      <x:c r="D5" s="12"/>
    </x:row>
    <x:row r="6">
      <x:c r="A6" s="6" t="str">
        <x:v>Scope</x:v>
      </x:c>
      <x:c r="B6" s="7" t="str">
        <x:v>36 Turkish short-answer items; L0-focused, selected L1 boundary cases, no L2.</x:v>
      </x:c>
      <x:c r="C6" s="12"/>
      <x:c r="D6" s="12"/>
    </x:row>
    <x:row r="7">
      <x:c r="A7" s="6" t="str">
        <x:v>Validation</x:v>
      </x:c>
      <x:c r="B7" s="7" t="str">
        <x:v>All 36 items received duplicate independent review; four flagged cases were resolved using independent adjudicator notes and official-source verification.</x:v>
      </x:c>
      <x:c r="C7" s="12"/>
      <x:c r="D7" s="12"/>
    </x:row>
    <x:row r="8">
      <x:c r="A8" s="6" t="str">
        <x:v>Evaluation use</x:v>
      </x:c>
      <x:c r="B8" s="7" t="str">
        <x:v>Dev results must not be reported as the main Test leaderboard result.</x:v>
      </x:c>
      <x:c r="C8" s="12"/>
      <x:c r="D8" s="12"/>
    </x:row>
    <x:row r="9">
      <x:c r="A9" s="6" t="str">
        <x:v>Accepted-answer separator</x:v>
      </x:c>
      <x:c r="B9" s="7" t="str">
        <x:v>Multiple accepted forms are separated with ' | '.</x:v>
      </x:c>
      <x:c r="C9" s="12"/>
      <x:c r="D9" s="12"/>
    </x:row>
    <x:row r="10">
      <x:c r="A10" s="6" t="str">
        <x:v>Freeze rule</x:v>
      </x:c>
      <x:c r="B10" s="7" t="str">
        <x:v>Questions, gold answers, and accepted answers must not be changed after pilot responses are collected; any later change requires a new version.</x:v>
      </x:c>
      <x:c r="C10" s="12"/>
      <x:c r="D10" s="12"/>
    </x:row>
    <x:row r="11">
      <x:c r="A11" s="12"/>
      <x:c r="B11" s="12"/>
      <x:c r="C11" s="12"/>
      <x:c r="D11" s="12"/>
    </x:row>
    <x:row r="12">
      <x:c r="A12" s="11" t="str">
        <x:v>Field</x:v>
      </x:c>
      <x:c r="B12" s="11" t="str">
        <x:v>Allowed values</x:v>
      </x:c>
      <x:c r="C12" s="11" t="str">
        <x:v>Meaning</x:v>
      </x:c>
      <x:c r="D12" s="11" t="str">
        <x:v>QA rule</x:v>
      </x:c>
    </x:row>
    <x:row r="13">
      <x:c r="A13" s="7" t="str">
        <x:v>lexical_leakage</x:v>
      </x:c>
      <x:c r="B13" s="7" t="str">
        <x:v>L0 | L1 | L2</x:v>
      </x:c>
      <x:c r="C13" s="7" t="str">
        <x:v>L0: none; L1: contextual cue; L2: direct leakage</x:v>
      </x:c>
      <x:c r="D13" s="7" t="str">
        <x:v>L2 = 0</x:v>
      </x:c>
    </x:row>
    <x:row r="14">
      <x:c r="A14" s="7" t="str">
        <x:v>ambiguity_risk</x:v>
      </x:c>
      <x:c r="B14" s="7" t="str">
        <x:v>low | medium | high</x:v>
      </x:c>
      <x:c r="C14" s="7" t="str">
        <x:v>Risk of multiple defensible answers</x:v>
      </x:c>
      <x:c r="D14" s="7" t="str">
        <x:v>Flagged cases resolved before freeze</x:v>
      </x:c>
    </x:row>
    <x:row r="15">
      <x:c r="A15" s="7" t="str">
        <x:v>temporal_stability</x:v>
      </x:c>
      <x:c r="B15" s="7" t="str">
        <x:v>high | medium | low</x:v>
      </x:c>
      <x:c r="C15" s="7" t="str">
        <x:v>Expected stability of the fact</x:v>
      </x:c>
      <x:c r="D15" s="7" t="str">
        <x:v>All items source-grounded</x:v>
      </x:c>
    </x:row>
    <x:row r="16">
      <x:c r="A16" s="7" t="str">
        <x:v>numeric_answer</x:v>
      </x:c>
      <x:c r="B16" s="7" t="str">
        <x:v>TRUE | FALSE</x:v>
      </x:c>
      <x:c r="C16" s="7" t="str">
        <x:v>Whether gold is a numeric value or range</x:v>
      </x:c>
      <x:c r="D16" s="7" t="str">
        <x:v>TRUE = 2</x:v>
      </x:c>
    </x:row>
    <x:row r="17">
      <x:c r="A17" s="7" t="str">
        <x:v>item_status</x:v>
      </x:c>
      <x:c r="B17" s="7" t="str">
        <x:v>frozen_dev_v0.2</x:v>
      </x:c>
      <x:c r="C17" s="7" t="str">
        <x:v>Versioned frozen Dev record</x:v>
      </x:c>
      <x:c r="D17" s="7" t="str">
        <x:v>All 36 rows frozen</x:v>
      </x:c>
    </x:row>
    <x:row r="18">
      <x:c r="A18" s="7" t="str">
        <x:v>source_url</x:v>
      </x:c>
      <x:c r="B18" s="7" t="str">
        <x:v>HTTPS URL</x:v>
      </x:c>
      <x:c r="C18" s="7" t="str">
        <x:v>Row-level provenance</x:v>
      </x:c>
      <x:c r="D18" s="7" t="str">
        <x:v>All 36 rows populated</x:v>
      </x:c>
    </x:row>
    <x:row r="19">
      <x:c r="A19" s="12"/>
      <x:c r="B19" s="12"/>
      <x:c r="C19" s="12"/>
      <x:c r="D19" s="12"/>
    </x:row>
    <x:row r="20">
      <x:c r="A20" s="11" t="str">
        <x:v>Dev case type</x:v>
      </x:c>
      <x:c r="B20" s="11" t="str">
        <x:v>Target</x:v>
      </x:c>
      <x:c r="C20" s="11" t="str">
        <x:v>Design purpose</x:v>
      </x:c>
      <x:c r="D20" s="12"/>
    </x:row>
    <x:row r="21">
      <x:c r="A21" s="12" t="str">
        <x:v>clear_single_word</x:v>
      </x:c>
      <x:c r="B21" s="12" t="n">
        <x:v>8</x:v>
      </x:c>
      <x:c r="C21" s="12" t="str">
        <x:v>Short and strict matching</x:v>
      </x:c>
      <x:c r="D21" s="12"/>
    </x:row>
    <x:row r="22">
      <x:c r="A22" s="12" t="str">
        <x:v>multi_word_accepted</x:v>
      </x:c>
      <x:c r="B22" s="12" t="n">
        <x:v>6</x:v>
      </x:c>
      <x:c r="C22" s="12" t="str">
        <x:v>Surface-form normalization</x:v>
      </x:c>
      <x:c r="D22" s="12"/>
    </x:row>
    <x:row r="23">
      <x:c r="A23" s="12" t="str">
        <x:v>local_terminology</x:v>
      </x:c>
      <x:c r="B23" s="12" t="n">
        <x:v>8</x:v>
      </x:c>
      <x:c r="C23" s="12" t="str">
        <x:v>Lower-visibility local concepts</x:v>
      </x:c>
      <x:c r="D23" s="12"/>
    </x:row>
    <x:row r="24">
      <x:c r="A24" s="12" t="str">
        <x:v>technical_culinary</x:v>
      </x:c>
      <x:c r="B24" s="12" t="n">
        <x:v>6</x:v>
      </x:c>
      <x:c r="C24" s="12" t="str">
        <x:v>Ingredients, tools, and production techniques</x:v>
      </x:c>
      <x:c r="D24" s="12"/>
    </x:row>
    <x:row r="25">
      <x:c r="A25" s="12" t="str">
        <x:v>cultural_heritage</x:v>
      </x:c>
      <x:c r="B25" s="12" t="n">
        <x:v>6</x:v>
      </x:c>
      <x:c r="C25" s="12" t="str">
        <x:v>Ritual, transmission, and heritage</x:v>
      </x:c>
      <x:c r="D25" s="12"/>
    </x:row>
    <x:row r="26">
      <x:c r="A26" s="12" t="str">
        <x:v>numeric_answer</x:v>
      </x:c>
      <x:c r="B26" s="12" t="n">
        <x:v>2</x:v>
      </x:c>
      <x:c r="C26" s="12" t="str">
        <x:v>Percentage and range parsing</x:v>
      </x:c>
      <x:c r="D26" s="12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28.75" hidden="0" customWidth="1"/>
    <x:col min="4" max="4" width="16.8799991607666" hidden="0" customWidth="1"/>
    <x:col min="5" max="5" width="48.75" hidden="0" customWidth="1"/>
    <x:col min="6" max="6" width="23.75" hidden="0" customWidth="1"/>
    <x:col min="7" max="7" width="41.25" hidden="0" customWidth="1"/>
    <x:col min="8" max="8" width="41.25" hidden="0" customWidth="1"/>
    <x:col min="9" max="9" width="23.75" hidden="0" customWidth="1"/>
    <x:col min="10" max="10" width="11.880000114440918" hidden="0" customWidth="1"/>
    <x:col min="11" max="11" width="13.130000114440918" hidden="0" customWidth="1"/>
    <x:col min="12" max="12" width="13.75" hidden="0" customWidth="1"/>
    <x:col min="13" max="13" width="12.5" hidden="0" customWidth="1"/>
    <x:col min="14" max="14" width="21.25" hidden="0" customWidth="1"/>
    <x:col min="15" max="15" width="18.1299991607666" hidden="0" customWidth="1"/>
    <x:col min="16" max="16" width="53.75" hidden="0" customWidth="1"/>
  </x:cols>
  <x:sheetData>
    <x:row r="1" ht="33" customHeight="1">
      <x:c r="A1" s="24" t="str">
        <x:v>item_id</x:v>
      </x:c>
      <x:c r="B1" s="25" t="str">
        <x:v>source_fact_id</x:v>
      </x:c>
      <x:c r="C1" s="25" t="str">
        <x:v>knowledge_domain</x:v>
      </x:c>
      <x:c r="D1" s="25" t="str">
        <x:v>knowledge_specificity</x:v>
      </x:c>
      <x:c r="E1" s="25" t="str">
        <x:v>question_tr</x:v>
      </x:c>
      <x:c r="F1" s="25" t="str">
        <x:v>gold_answer</x:v>
      </x:c>
      <x:c r="G1" s="25" t="str">
        <x:v>accepted_answers</x:v>
      </x:c>
      <x:c r="H1" s="25" t="str">
        <x:v>source_url</x:v>
      </x:c>
      <x:c r="I1" s="25" t="str">
        <x:v>source_type</x:v>
      </x:c>
      <x:c r="J1" s="25" t="str">
        <x:v>lexical_leakage</x:v>
      </x:c>
      <x:c r="K1" s="25" t="str">
        <x:v>ambiguity_risk</x:v>
      </x:c>
      <x:c r="L1" s="25" t="str">
        <x:v>temporal_stability</x:v>
      </x:c>
      <x:c r="M1" s="25" t="str">
        <x:v>numeric_answer</x:v>
      </x:c>
      <x:c r="N1" s="25" t="str">
        <x:v>dev_case_type</x:v>
      </x:c>
      <x:c r="O1" s="25" t="str">
        <x:v>item_status</x:v>
      </x:c>
      <x:c r="P1" s="26" t="str">
        <x:v>notes</x:v>
      </x:c>
    </x:row>
    <x:row r="2" ht="48" customHeight="1">
      <x:c r="A2" s="31" t="str">
        <x:v>D001</x:v>
      </x:c>
      <x:c r="B2" s="31" t="str">
        <x:v>F014</x:v>
      </x:c>
      <x:c r="C2" s="31" t="str">
        <x:v>K3 — Preparation &amp; Cooking Techniques</x:v>
      </x:c>
      <x:c r="D2" s="31" t="str">
        <x:v>Technical</x:v>
      </x:c>
      <x:c r="E2" s="31" t="str">
        <x:v>Adana Kebabı için et geleneksel olarak hangi araçla kıyılır?</x:v>
      </x:c>
      <x:c r="F2" s="31" t="str">
        <x:v>Zırh</x:v>
      </x:c>
      <x:c r="G2" s="31" t="str">
        <x:v>zırh</x:v>
      </x:c>
      <x:c r="H2" s="35" t="str">
        <x:v>https://ci.turkpatent.gov.tr/Files/GeographicalSigns/493a7cc8-b7da-4f95-bf8c-f82617bc990a.pdf</x:v>
      </x:c>
      <x:c r="I2" s="31" t="str">
        <x:v>TÜRKPATENT tescil belgesi</x:v>
      </x:c>
      <x:c r="J2" s="33" t="str">
        <x:v>L0</x:v>
      </x:c>
      <x:c r="K2" s="33" t="str">
        <x:v>low</x:v>
      </x:c>
      <x:c r="L2" s="33" t="str">
        <x:v>high</x:v>
      </x:c>
      <x:c r="M2" s="34" t="b">
        <x:v>0</x:v>
      </x:c>
      <x:c r="N2" s="33" t="str">
        <x:v>clear_single_word</x:v>
      </x:c>
      <x:c r="O2" s="37" t="str">
        <x:v>frozen_dev_v0.2</x:v>
      </x:c>
      <x:c r="P2" s="31" t="str">
        <x:v>Kaynakta açıkça tanımlı araç adı. | FREEZE v0.2: Accepted after complete, concordant double review.</x:v>
      </x:c>
    </x:row>
    <x:row r="3" ht="48" customHeight="1">
      <x:c r="A3" s="31" t="str">
        <x:v>D002</x:v>
      </x:c>
      <x:c r="B3" s="31" t="str">
        <x:v>F017</x:v>
      </x:c>
      <x:c r="C3" s="31" t="str">
        <x:v>K3 — Preparation &amp; Cooking Techniques</x:v>
      </x:c>
      <x:c r="D3" s="31" t="str">
        <x:v>Local/Technical</x:v>
      </x:c>
      <x:c r="E3" s="38" t="str">
        <x:v>Maraş Tarhanasının kurutulmak üzere serildiği geleneksel hasır örtüye ne ad verilir?</x:v>
      </x:c>
      <x:c r="F3" s="38" t="str">
        <x:v>Çığ</x:v>
      </x:c>
      <x:c r="G3" s="38" t="str">
        <x:v>çığ</x:v>
      </x:c>
      <x:c r="H3" s="39" t="str">
        <x:v>https://ci.turkpatent.gov.tr/Files/GeographicalSigns/8c3d053b-bb27-4305-a46f-398c181d189e.pdf</x:v>
      </x:c>
      <x:c r="I3" s="38" t="str">
        <x:v>TÜRKPATENT tescil belgesi</x:v>
      </x:c>
      <x:c r="J3" s="40" t="str">
        <x:v>L0</x:v>
      </x:c>
      <x:c r="K3" s="40" t="str">
        <x:v>low</x:v>
      </x:c>
      <x:c r="L3" s="40" t="str">
        <x:v>high</x:v>
      </x:c>
      <x:c r="M3" s="41" t="b">
        <x:v>0</x:v>
      </x:c>
      <x:c r="N3" s="40" t="str">
        <x:v>clear_single_word</x:v>
      </x:c>
      <x:c r="O3" s="42" t="str">
        <x:v>frozen_dev_v0.2</x:v>
      </x:c>
      <x:c r="P3" s="38" t="str">
        <x:v>Yerel üretim terminolojisi. | FREEZE v0.2: Clarity revision based on independent adjudicator note; 'hasır' retained to preserve the official source meaning.</x:v>
      </x:c>
    </x:row>
    <x:row r="4" ht="48" customHeight="1">
      <x:c r="A4" s="31" t="str">
        <x:v>D003</x:v>
      </x:c>
      <x:c r="B4" s="31" t="str">
        <x:v>F019</x:v>
      </x:c>
      <x:c r="C4" s="31" t="str">
        <x:v>K3 — Preparation &amp; Cooking Techniques</x:v>
      </x:c>
      <x:c r="D4" s="31" t="str">
        <x:v>General</x:v>
      </x:c>
      <x:c r="E4" s="31" t="str">
        <x:v>UNESCO tanımına göre Türk kahvesi hazırlanırken öğütülmüş kahveye başlangıçta hangi sıcaklıktaki su eklenir?</x:v>
      </x:c>
      <x:c r="F4" s="31" t="str">
        <x:v>Soğuk</x:v>
      </x:c>
      <x:c r="G4" s="31" t="str">
        <x:v>soğuk | soğuk su</x:v>
      </x:c>
      <x:c r="H4" s="35" t="str">
        <x:v>https://ich.unesco.org/en/RL/turkish-coffee-culture-and-tradition-00645</x:v>
      </x:c>
      <x:c r="I4" s="31" t="str">
        <x:v>UNESCO ICH kaydı</x:v>
      </x:c>
      <x:c r="J4" s="33" t="str">
        <x:v>L0</x:v>
      </x:c>
      <x:c r="K4" s="33" t="str">
        <x:v>low</x:v>
      </x:c>
      <x:c r="L4" s="33" t="str">
        <x:v>high</x:v>
      </x:c>
      <x:c r="M4" s="34" t="b">
        <x:v>0</x:v>
      </x:c>
      <x:c r="N4" s="33" t="str">
        <x:v>clear_single_word</x:v>
      </x:c>
      <x:c r="O4" s="37" t="str">
        <x:v>frozen_dev_v0.2</x:v>
      </x:c>
      <x:c r="P4" s="31" t="str">
        <x:v>Gold tek kelime; 'soğuk su' da kabul edilir. | FREEZE v0.2: Accepted after complete, concordant double review.</x:v>
      </x:c>
    </x:row>
    <x:row r="5" ht="48" customHeight="1">
      <x:c r="A5" s="31" t="str">
        <x:v>D004</x:v>
      </x:c>
      <x:c r="B5" s="31" t="str">
        <x:v>F028</x:v>
      </x:c>
      <x:c r="C5" s="31" t="str">
        <x:v>K5 — Culinary Terminology &amp; Traditional Practices</x:v>
      </x:c>
      <x:c r="D5" s="31" t="str">
        <x:v>General/Heritage</x:v>
      </x:c>
      <x:c r="E5" s="31" t="str">
        <x:v>UNESCO'ya göre Türk kahvesine geleneksel olarak hangi içecek eşlik eder?</x:v>
      </x:c>
      <x:c r="F5" s="31" t="str">
        <x:v>Su</x:v>
      </x:c>
      <x:c r="G5" s="31" t="str">
        <x:v>su | bir bardak su</x:v>
      </x:c>
      <x:c r="H5" s="35" t="str">
        <x:v>https://ich.unesco.org/en/RL/turkish-coffee-culture-and-tradition-00645</x:v>
      </x:c>
      <x:c r="I5" s="31" t="str">
        <x:v>UNESCO ICH kaydı</x:v>
      </x:c>
      <x:c r="J5" s="33" t="str">
        <x:v>L0</x:v>
      </x:c>
      <x:c r="K5" s="33" t="str">
        <x:v>low</x:v>
      </x:c>
      <x:c r="L5" s="33" t="str">
        <x:v>high</x:v>
      </x:c>
      <x:c r="M5" s="34" t="b">
        <x:v>0</x:v>
      </x:c>
      <x:c r="N5" s="33" t="str">
        <x:v>clear_single_word</x:v>
      </x:c>
      <x:c r="O5" s="37" t="str">
        <x:v>frozen_dev_v0.2</x:v>
      </x:c>
      <x:c r="P5" s="31" t="str">
        <x:v>Kaynak bir bardak suyu belirtir. | FREEZE v0.2: Accepted after complete, concordant double review.</x:v>
      </x:c>
    </x:row>
    <x:row r="6" ht="48" customHeight="1">
      <x:c r="A6" s="31" t="str">
        <x:v>D005</x:v>
      </x:c>
      <x:c r="B6" s="31" t="str">
        <x:v>F056</x:v>
      </x:c>
      <x:c r="C6" s="31" t="str">
        <x:v>K2 — Ingredients &amp; Composition</x:v>
      </x:c>
      <x:c r="D6" s="31" t="str">
        <x:v>Regional</x:v>
      </x:c>
      <x:c r="E6" s="31" t="str">
        <x:v>Antalya Piyazını diğer piyazlardan ayıran karakteristik sos nedir?</x:v>
      </x:c>
      <x:c r="F6" s="31" t="str">
        <x:v>Tarator</x:v>
      </x:c>
      <x:c r="G6" s="31" t="str">
        <x:v>tarator | tarator sosu</x:v>
      </x:c>
      <x:c r="H6" s="35" t="str">
        <x:v>https://ci.turkpatent.gov.tr/Files/GeographicalSigns/315.pdf</x:v>
      </x:c>
      <x:c r="I6" s="31" t="str">
        <x:v>TÜRKPATENT tescil belgesi</x:v>
      </x:c>
      <x:c r="J6" s="33" t="str">
        <x:v>L0</x:v>
      </x:c>
      <x:c r="K6" s="33" t="str">
        <x:v>low</x:v>
      </x:c>
      <x:c r="L6" s="33" t="str">
        <x:v>high</x:v>
      </x:c>
      <x:c r="M6" s="34" t="b">
        <x:v>0</x:v>
      </x:c>
      <x:c r="N6" s="33" t="str">
        <x:v>clear_single_word</x:v>
      </x:c>
      <x:c r="O6" s="37" t="str">
        <x:v>frozen_dev_v0.2</x:v>
      </x:c>
      <x:c r="P6" s="31" t="str">
        <x:v>Ayırt edici sos. | FREEZE v0.2: Accepted after complete, concordant double review.</x:v>
      </x:c>
    </x:row>
    <x:row r="7" ht="48" customHeight="1">
      <x:c r="A7" s="31" t="str">
        <x:v>D006</x:v>
      </x:c>
      <x:c r="B7" s="31" t="str">
        <x:v>F060</x:v>
      </x:c>
      <x:c r="C7" s="31" t="str">
        <x:v>K3 — Preparation &amp; Cooking Techniques</x:v>
      </x:c>
      <x:c r="D7" s="31" t="str">
        <x:v>Local/Technical</x:v>
      </x:c>
      <x:c r="E7" s="31" t="str">
        <x:v>Tarsus Humusunda pişmiş nohut geleneksel olarak hangi araçla ezilir?</x:v>
      </x:c>
      <x:c r="F7" s="31" t="str">
        <x:v>Tokmak</x:v>
      </x:c>
      <x:c r="G7" s="31" t="str">
        <x:v>tokmak</x:v>
      </x:c>
      <x:c r="H7" s="35" t="str">
        <x:v>https://ci.turkpatent.gov.tr/Files/GeographicalSigns/226.pdf</x:v>
      </x:c>
      <x:c r="I7" s="31" t="str">
        <x:v>TÜRKPATENT tescil belgesi</x:v>
      </x:c>
      <x:c r="J7" s="33" t="str">
        <x:v>L0</x:v>
      </x:c>
      <x:c r="K7" s="33" t="str">
        <x:v>low</x:v>
      </x:c>
      <x:c r="L7" s="33" t="str">
        <x:v>high</x:v>
      </x:c>
      <x:c r="M7" s="34" t="b">
        <x:v>0</x:v>
      </x:c>
      <x:c r="N7" s="33" t="str">
        <x:v>clear_single_word</x:v>
      </x:c>
      <x:c r="O7" s="37" t="str">
        <x:v>frozen_dev_v0.2</x:v>
      </x:c>
      <x:c r="P7" s="31" t="str">
        <x:v>Geleneksel araç bilgisi. | FREEZE v0.2: Accepted after complete, concordant double review.</x:v>
      </x:c>
    </x:row>
    <x:row r="8" ht="48" customHeight="1">
      <x:c r="A8" s="31" t="str">
        <x:v>D007</x:v>
      </x:c>
      <x:c r="B8" s="31" t="str">
        <x:v>F065</x:v>
      </x:c>
      <x:c r="C8" s="31" t="str">
        <x:v>K2 — Ingredients &amp; Composition</x:v>
      </x:c>
      <x:c r="D8" s="31" t="str">
        <x:v>Local</x:v>
      </x:c>
      <x:c r="E8" s="31" t="str">
        <x:v>Erzincan Kesme Kadayıfında yufka katlarının arasına hangi kuruyemiş konur?</x:v>
      </x:c>
      <x:c r="F8" s="31" t="str">
        <x:v>Ceviz</x:v>
      </x:c>
      <x:c r="G8" s="31" t="str">
        <x:v>ceviz | ceviz içi</x:v>
      </x:c>
      <x:c r="H8" s="35" t="str">
        <x:v>https://ci.turkpatent.gov.tr/Files/GeographicalSigns/5212ffda-73e7-4b2a-955b-49d1d24c8dd8.pdf</x:v>
      </x:c>
      <x:c r="I8" s="31" t="str">
        <x:v>TÜRKPATENT tescil belgesi</x:v>
      </x:c>
      <x:c r="J8" s="33" t="str">
        <x:v>L0</x:v>
      </x:c>
      <x:c r="K8" s="33" t="str">
        <x:v>low</x:v>
      </x:c>
      <x:c r="L8" s="33" t="str">
        <x:v>high</x:v>
      </x:c>
      <x:c r="M8" s="34" t="b">
        <x:v>0</x:v>
      </x:c>
      <x:c r="N8" s="33" t="str">
        <x:v>clear_single_word</x:v>
      </x:c>
      <x:c r="O8" s="37" t="str">
        <x:v>frozen_dev_v0.2</x:v>
      </x:c>
      <x:c r="P8" s="31" t="str">
        <x:v>İç malzeme. | FREEZE v0.2: Accepted after complete, concordant double review.</x:v>
      </x:c>
    </x:row>
    <x:row r="9" ht="48" customHeight="1">
      <x:c r="A9" s="31" t="str">
        <x:v>D008</x:v>
      </x:c>
      <x:c r="B9" s="31" t="str">
        <x:v>F068</x:v>
      </x:c>
      <x:c r="C9" s="31" t="str">
        <x:v>K2 — Ingredients &amp; Composition</x:v>
      </x:c>
      <x:c r="D9" s="31" t="str">
        <x:v>Local</x:v>
      </x:c>
      <x:c r="E9" s="31" t="str">
        <x:v>Diyarbakır Kaburga Dolmasının pirinçli iç harcında hangi kuruyemiş kullanılır?</x:v>
      </x:c>
      <x:c r="F9" s="31" t="str">
        <x:v>Badem</x:v>
      </x:c>
      <x:c r="G9" s="31" t="str">
        <x:v>badem | badem içi</x:v>
      </x:c>
      <x:c r="H9" s="35" t="str">
        <x:v>https://ci.turkpatent.gov.tr/Files/GeographicalSigns/ffe64b55-cc1a-4e1f-90ff-1f9a90128a25.pdf</x:v>
      </x:c>
      <x:c r="I9" s="31" t="str">
        <x:v>TÜRKPATENT tescil belgesi</x:v>
      </x:c>
      <x:c r="J9" s="33" t="str">
        <x:v>L0</x:v>
      </x:c>
      <x:c r="K9" s="33" t="str">
        <x:v>low</x:v>
      </x:c>
      <x:c r="L9" s="33" t="str">
        <x:v>high</x:v>
      </x:c>
      <x:c r="M9" s="34" t="b">
        <x:v>0</x:v>
      </x:c>
      <x:c r="N9" s="33" t="str">
        <x:v>clear_single_word</x:v>
      </x:c>
      <x:c r="O9" s="37" t="str">
        <x:v>frozen_dev_v0.2</x:v>
      </x:c>
      <x:c r="P9" s="31" t="str">
        <x:v>İç harç bileşeni. | FREEZE v0.2: Accepted after complete, concordant double review.</x:v>
      </x:c>
    </x:row>
    <x:row r="10" ht="48" customHeight="1">
      <x:c r="A10" s="31" t="str">
        <x:v>D009</x:v>
      </x:c>
      <x:c r="B10" s="31" t="str">
        <x:v>F009</x:v>
      </x:c>
      <x:c r="C10" s="31" t="str">
        <x:v>K2 — Ingredients &amp; Composition</x:v>
      </x:c>
      <x:c r="D10" s="31" t="str">
        <x:v>Regional</x:v>
      </x:c>
      <x:c r="E10" s="31" t="str">
        <x:v>Maraş Tarhanasının iki temel bileşeni nedir?</x:v>
      </x:c>
      <x:c r="F10" s="31" t="str">
        <x:v>Yoğurt ve dövme</x:v>
      </x:c>
      <x:c r="G10" s="31" t="str">
        <x:v>yoğurt ve dövme | yoğurt ve buğday yarması | yoğurt ile dövme | yoğurt ile buğday yarması</x:v>
      </x:c>
      <x:c r="H10" s="35" t="str">
        <x:v>https://ci.turkpatent.gov.tr/Files/GeographicalSigns/8c3d053b-bb27-4305-a46f-398c181d189e.pdf</x:v>
      </x:c>
      <x:c r="I10" s="31" t="str">
        <x:v>TÜRKPATENT tescil belgesi</x:v>
      </x:c>
      <x:c r="J10" s="33" t="str">
        <x:v>L0</x:v>
      </x:c>
      <x:c r="K10" s="33" t="str">
        <x:v>medium</x:v>
      </x:c>
      <x:c r="L10" s="33" t="str">
        <x:v>high</x:v>
      </x:c>
      <x:c r="M10" s="34" t="b">
        <x:v>0</x:v>
      </x:c>
      <x:c r="N10" s="33" t="str">
        <x:v>multi_word_accepted</x:v>
      </x:c>
      <x:c r="O10" s="37" t="str">
        <x:v>frozen_dev_v0.2</x:v>
      </x:c>
      <x:c r="P10" s="31" t="str">
        <x:v>RESOLVED DURING VALIDATION: İki bileşenin de zorunlu olduğu scoring kuralı onaylanmalı. | FREEZE v0.2: Accepted after complete, concordant double review.</x:v>
      </x:c>
    </x:row>
    <x:row r="11" ht="48" customHeight="1">
      <x:c r="A11" s="31" t="str">
        <x:v>D010</x:v>
      </x:c>
      <x:c r="B11" s="31" t="str">
        <x:v>F031</x:v>
      </x:c>
      <x:c r="C11" s="31" t="str">
        <x:v>K5 — Culinary Terminology &amp; Traditional Practices</x:v>
      </x:c>
      <x:c r="D11" s="31" t="str">
        <x:v>General/Heritage</x:v>
      </x:c>
      <x:c r="E11" s="31" t="str">
        <x:v>UNESCO tanımına göre çay geleneksel olarak hangi biçimdeki bardaklarda servis edilir?</x:v>
      </x:c>
      <x:c r="F11" s="31" t="str">
        <x:v>Armut biçimli bardak</x:v>
      </x:c>
      <x:c r="G11" s="31" t="str">
        <x:v>armut biçimli bardak | armut şeklinde bardak | armut biçimli bardaklar | armut şeklinde bardaklar</x:v>
      </x:c>
      <x:c r="H11" s="35" t="str">
        <x:v>https://ich.unesco.org/en/RL/culture-of-cay-tea-a-symbol-of-identity-hospitality-and-social-interaction-01685</x:v>
      </x:c>
      <x:c r="I11" s="31" t="str">
        <x:v>UNESCO ICH kaydı</x:v>
      </x:c>
      <x:c r="J11" s="33" t="str">
        <x:v>L0</x:v>
      </x:c>
      <x:c r="K11" s="33" t="str">
        <x:v>medium</x:v>
      </x:c>
      <x:c r="L11" s="33" t="str">
        <x:v>high</x:v>
      </x:c>
      <x:c r="M11" s="34" t="b">
        <x:v>0</x:v>
      </x:c>
      <x:c r="N11" s="33" t="str">
        <x:v>multi_word_accepted</x:v>
      </x:c>
      <x:c r="O11" s="37" t="str">
        <x:v>frozen_dev_v0.2</x:v>
      </x:c>
      <x:c r="P11" s="31" t="str">
        <x:v>RESOLVED DURING VALIDATION: 'İnce belli bardak' kabul listesine eklenmeli mi doğrulanmalı. | FREEZE v0.2: Accepted after complete, concordant double review.</x:v>
      </x:c>
    </x:row>
    <x:row r="12" ht="48" customHeight="1">
      <x:c r="A12" s="31" t="str">
        <x:v>D011</x:v>
      </x:c>
      <x:c r="B12" s="31" t="str">
        <x:v>F083</x:v>
      </x:c>
      <x:c r="C12" s="31" t="str">
        <x:v>K5 — Culinary Terminology &amp; Traditional Practices</x:v>
      </x:c>
      <x:c r="D12" s="31" t="str">
        <x:v>Regional/Heritage</x:v>
      </x:c>
      <x:c r="E12" s="31" t="str">
        <x:v>UNESCO kaydına göre Türkiye'de düğünlerde yassı ekmek kimlere verilir?</x:v>
      </x:c>
      <x:c r="F12" s="31" t="str">
        <x:v>Çiftin komşularına</x:v>
      </x:c>
      <x:c r="G12" s="31" t="str">
        <x:v>çiftin komşularına | yeni evli çiftin komşularına | komşulara</x:v>
      </x:c>
      <x:c r="H12" s="35" t="str">
        <x:v>https://ich.unesco.org/en/RL/flatbread-making-and-sharing-culture-lavash-katyrma-jupka-yufka-01181</x:v>
      </x:c>
      <x:c r="I12" s="31" t="str">
        <x:v>UNESCO ICH kaydı</x:v>
      </x:c>
      <x:c r="J12" s="33" t="str">
        <x:v>L0</x:v>
      </x:c>
      <x:c r="K12" s="33" t="str">
        <x:v>low</x:v>
      </x:c>
      <x:c r="L12" s="33" t="str">
        <x:v>high</x:v>
      </x:c>
      <x:c r="M12" s="34" t="b">
        <x:v>0</x:v>
      </x:c>
      <x:c r="N12" s="33" t="str">
        <x:v>multi_word_accepted</x:v>
      </x:c>
      <x:c r="O12" s="37" t="str">
        <x:v>frozen_dev_v0.2</x:v>
      </x:c>
      <x:c r="P12" s="31" t="str">
        <x:v>Türkiye'ye özgü düğün bağlamı. | FREEZE v0.2: Accepted after complete, concordant double review.</x:v>
      </x:c>
    </x:row>
    <x:row r="13" ht="48" customHeight="1">
      <x:c r="A13" s="31" t="str">
        <x:v>D012</x:v>
      </x:c>
      <x:c r="B13" s="31" t="str">
        <x:v>F087</x:v>
      </x:c>
      <x:c r="C13" s="31" t="str">
        <x:v>K5 — Culinary Terminology &amp; Traditional Practices</x:v>
      </x:c>
      <x:c r="D13" s="31" t="str">
        <x:v>Local/Heritage</x:v>
      </x:c>
      <x:c r="E13" s="31" t="str">
        <x:v>Törensel Keşkek geleneğinde buğday taşınırken hangi iki çalgı çalınır?</x:v>
      </x:c>
      <x:c r="F13" s="31" t="str">
        <x:v>Davul ve zurna</x:v>
      </x:c>
      <x:c r="G13" s="31" t="str">
        <x:v>davul ve zurna | zurna ve davul</x:v>
      </x:c>
      <x:c r="H13" s="35" t="str">
        <x:v>https://ich.unesco.org/en/RL/ceremonial-keskek-tradition-00388</x:v>
      </x:c>
      <x:c r="I13" s="31" t="str">
        <x:v>UNESCO ICH kaydı</x:v>
      </x:c>
      <x:c r="J13" s="33" t="str">
        <x:v>L0</x:v>
      </x:c>
      <x:c r="K13" s="33" t="str">
        <x:v>low</x:v>
      </x:c>
      <x:c r="L13" s="33" t="str">
        <x:v>high</x:v>
      </x:c>
      <x:c r="M13" s="34" t="b">
        <x:v>0</x:v>
      </x:c>
      <x:c r="N13" s="33" t="str">
        <x:v>multi_word_accepted</x:v>
      </x:c>
      <x:c r="O13" s="37" t="str">
        <x:v>frozen_dev_v0.2</x:v>
      </x:c>
      <x:c r="P13" s="31" t="str">
        <x:v>İki çalgı da gerekli; sıra önemsiz. | FREEZE v0.2: Accepted after complete, concordant double review.</x:v>
      </x:c>
    </x:row>
    <x:row r="14" ht="48" customHeight="1">
      <x:c r="A14" s="31" t="str">
        <x:v>D013</x:v>
      </x:c>
      <x:c r="B14" s="31" t="str">
        <x:v>F100</x:v>
      </x:c>
      <x:c r="C14" s="31" t="str">
        <x:v>K6 — Culinary History, Heritage &amp; Cultural Context</x:v>
      </x:c>
      <x:c r="D14" s="31" t="str">
        <x:v>General/Heritage</x:v>
      </x:c>
      <x:c r="E14" s="31" t="str">
        <x:v>Kültür Portalına göre aşurenin temsil ettiği iki temel kavram nedir?</x:v>
      </x:c>
      <x:c r="F14" s="31" t="str">
        <x:v>Bolluk ve bereket</x:v>
      </x:c>
      <x:c r="G14" s="31" t="str">
        <x:v>bolluk ve bereket | bereket ve bolluk</x:v>
      </x:c>
      <x:c r="H14" s="35" t="str">
        <x:v>https://kulturportali.gov.tr/portal/geleneksel-lezzetler--7-ozel-gun-yemegi</x:v>
      </x:c>
      <x:c r="I14" s="31" t="str">
        <x:v>Kültür ve Turizm Bakanlığı Kültür Portalı</x:v>
      </x:c>
      <x:c r="J14" s="33" t="str">
        <x:v>L0</x:v>
      </x:c>
      <x:c r="K14" s="33" t="str">
        <x:v>low</x:v>
      </x:c>
      <x:c r="L14" s="33" t="str">
        <x:v>high</x:v>
      </x:c>
      <x:c r="M14" s="34" t="b">
        <x:v>0</x:v>
      </x:c>
      <x:c r="N14" s="33" t="str">
        <x:v>multi_word_accepted</x:v>
      </x:c>
      <x:c r="O14" s="37" t="str">
        <x:v>frozen_dev_v0.2</x:v>
      </x:c>
      <x:c r="P14" s="31" t="str">
        <x:v>İki kavram da gerekli; sıra önemsiz. | FREEZE v0.2: Accepted after complete, concordant double review.</x:v>
      </x:c>
    </x:row>
    <x:row r="15" ht="48" customHeight="1">
      <x:c r="A15" s="31" t="str">
        <x:v>D014</x:v>
      </x:c>
      <x:c r="B15" s="31" t="str">
        <x:v>F112</x:v>
      </x:c>
      <x:c r="C15" s="31" t="str">
        <x:v>K6 — Culinary History, Heritage &amp; Cultural Context</x:v>
      </x:c>
      <x:c r="D15" s="31" t="str">
        <x:v>Local/Heritage</x:v>
      </x:c>
      <x:c r="E15" s="31" t="str">
        <x:v>Tekirdağ'daki Herise geleneğinde düğün için hazırlanan yemekten özellikle hangi iki gruba gönderilir?</x:v>
      </x:c>
      <x:c r="F15" s="31" t="str">
        <x:v>Hasta ve yaşlılar</x:v>
      </x:c>
      <x:c r="G15" s="31" t="str">
        <x:v>hasta ve yaşlılar | yaşlı ve hastalar | hastalara ve yaşlılara | yaşlılara ve hastalara</x:v>
      </x:c>
      <x:c r="H15" s="35" t="str">
        <x:v>https://www.kulturportali.gov.tr/turkiye/tekirdag/neyenir/herise-keskek</x:v>
      </x:c>
      <x:c r="I15" s="31" t="str">
        <x:v>Kültür ve Turizm Bakanlığı Kültür Portalı</x:v>
      </x:c>
      <x:c r="J15" s="33" t="str">
        <x:v>L0</x:v>
      </x:c>
      <x:c r="K15" s="33" t="str">
        <x:v>low</x:v>
      </x:c>
      <x:c r="L15" s="33" t="str">
        <x:v>high</x:v>
      </x:c>
      <x:c r="M15" s="34" t="b">
        <x:v>0</x:v>
      </x:c>
      <x:c r="N15" s="33" t="str">
        <x:v>multi_word_accepted</x:v>
      </x:c>
      <x:c r="O15" s="37" t="str">
        <x:v>frozen_dev_v0.2</x:v>
      </x:c>
      <x:c r="P15" s="31" t="str">
        <x:v>İki hedef grup da gerekli. | FREEZE v0.2: Accepted after complete, concordant double review.</x:v>
      </x:c>
    </x:row>
    <x:row r="16" ht="48" customHeight="1">
      <x:c r="A16" s="31" t="str">
        <x:v>D015</x:v>
      </x:c>
      <x:c r="B16" s="31" t="str">
        <x:v>F059</x:v>
      </x:c>
      <x:c r="C16" s="31" t="str">
        <x:v>K5 — Culinary Terminology &amp; Traditional Practices</x:v>
      </x:c>
      <x:c r="D16" s="31" t="str">
        <x:v>Local/Technical</x:v>
      </x:c>
      <x:c r="E16" s="31" t="str">
        <x:v>Tarsus Humusunda nohutların ezildiği geleneksel bakır kabın adı nedir?</x:v>
      </x:c>
      <x:c r="F16" s="31" t="str">
        <x:v>Humus Tası</x:v>
      </x:c>
      <x:c r="G16" s="31" t="str">
        <x:v>humus tası | humus tasi</x:v>
      </x:c>
      <x:c r="H16" s="35" t="str">
        <x:v>https://ci.turkpatent.gov.tr/Files/GeographicalSigns/226.pdf</x:v>
      </x:c>
      <x:c r="I16" s="31" t="str">
        <x:v>TÜRKPATENT tescil belgesi</x:v>
      </x:c>
      <x:c r="J16" s="33" t="str">
        <x:v>L0</x:v>
      </x:c>
      <x:c r="K16" s="33" t="str">
        <x:v>low</x:v>
      </x:c>
      <x:c r="L16" s="33" t="str">
        <x:v>high</x:v>
      </x:c>
      <x:c r="M16" s="34" t="b">
        <x:v>0</x:v>
      </x:c>
      <x:c r="N16" s="33" t="str">
        <x:v>local_terminology</x:v>
      </x:c>
      <x:c r="O16" s="37" t="str">
        <x:v>frozen_dev_v0.2</x:v>
      </x:c>
      <x:c r="P16" s="31" t="str">
        <x:v>Özel kap adı. | FREEZE v0.2: Accepted after complete, concordant double review.</x:v>
      </x:c>
    </x:row>
    <x:row r="17" ht="48" customHeight="1">
      <x:c r="A17" s="31" t="str">
        <x:v>D016</x:v>
      </x:c>
      <x:c r="B17" s="31" t="str">
        <x:v>F102</x:v>
      </x:c>
      <x:c r="C17" s="31" t="str">
        <x:v>K5 — Culinary Terminology &amp; Traditional Practices</x:v>
      </x:c>
      <x:c r="D17" s="31" t="str">
        <x:v>Local</x:v>
      </x:c>
      <x:c r="E17" s="31" t="str">
        <x:v>İzmir kültüründe lokmanın özel günlerde hazırlanarak halka ücretsiz dağıtılması geleneğine ne ad verilir?</x:v>
      </x:c>
      <x:c r="F17" s="31" t="str">
        <x:v>Lokma dökmek</x:v>
      </x:c>
      <x:c r="G17" s="31" t="str">
        <x:v>lokma dökmek | lokma döktürmek</x:v>
      </x:c>
      <x:c r="H17" s="35" t="str">
        <x:v>https://kulturportali.gov.tr/turkiye/izmir/neyenir/lokma-zmir-lokmasi</x:v>
      </x:c>
      <x:c r="I17" s="31" t="str">
        <x:v>Kültür ve Turizm Bakanlığı Kültür Portalı</x:v>
      </x:c>
      <x:c r="J17" s="33" t="str">
        <x:v>L0</x:v>
      </x:c>
      <x:c r="K17" s="33" t="str">
        <x:v>low</x:v>
      </x:c>
      <x:c r="L17" s="33" t="str">
        <x:v>high</x:v>
      </x:c>
      <x:c r="M17" s="34" t="b">
        <x:v>0</x:v>
      </x:c>
      <x:c r="N17" s="33" t="str">
        <x:v>local_terminology</x:v>
      </x:c>
      <x:c r="O17" s="37" t="str">
        <x:v>frozen_dev_v0.2</x:v>
      </x:c>
      <x:c r="P17" s="31" t="str">
        <x:v>İki yerel fiil biçimi kabul edilir. | FREEZE v0.2: Accepted after complete, concordant double review.</x:v>
      </x:c>
    </x:row>
    <x:row r="18" ht="48" customHeight="1">
      <x:c r="A18" s="31" t="str">
        <x:v>D017</x:v>
      </x:c>
      <x:c r="B18" s="31" t="str">
        <x:v>F104</x:v>
      </x:c>
      <x:c r="C18" s="31" t="str">
        <x:v>K5 — Culinary Terminology &amp; Traditional Practices</x:v>
      </x:c>
      <x:c r="D18" s="31" t="str">
        <x:v>Local</x:v>
      </x:c>
      <x:c r="E18" s="31" t="str">
        <x:v>İzmir'in bazı yörelerinde Sura'nın üzerine sarılan yağlı zar tabakasına verilen geleneksel adlardan biri nedir?</x:v>
      </x:c>
      <x:c r="F18" s="31" t="str">
        <x:v>Gömlek</x:v>
      </x:c>
      <x:c r="G18" s="31" t="str">
        <x:v>gömlek | çember</x:v>
      </x:c>
      <x:c r="H18" s="35" t="str">
        <x:v>https://www.kulturportali.gov.tr/turkiye/izmir/neyenir/cop-ss</x:v>
      </x:c>
      <x:c r="I18" s="31" t="str">
        <x:v>Kültür ve Turizm Bakanlığı Kültür Portalı</x:v>
      </x:c>
      <x:c r="J18" s="33" t="str">
        <x:v>L0</x:v>
      </x:c>
      <x:c r="K18" s="33" t="str">
        <x:v>medium</x:v>
      </x:c>
      <x:c r="L18" s="33" t="str">
        <x:v>high</x:v>
      </x:c>
      <x:c r="M18" s="34" t="b">
        <x:v>0</x:v>
      </x:c>
      <x:c r="N18" s="33" t="str">
        <x:v>local_terminology</x:v>
      </x:c>
      <x:c r="O18" s="37" t="str">
        <x:v>frozen_dev_v0.2</x:v>
      </x:c>
      <x:c r="P18" s="31" t="str">
        <x:v>RESOLVED DURING VALIDATION: İki yerel adın eşdeğer kabulü doğrulanmalı. | FREEZE v0.2: Accepted after complete, concordant double review.</x:v>
      </x:c>
    </x:row>
    <x:row r="19" ht="48" customHeight="1">
      <x:c r="A19" s="31" t="str">
        <x:v>D018</x:v>
      </x:c>
      <x:c r="B19" s="31" t="str">
        <x:v>F106</x:v>
      </x:c>
      <x:c r="C19" s="31" t="str">
        <x:v>K5 — Culinary Terminology &amp; Traditional Practices</x:v>
      </x:c>
      <x:c r="D19" s="31" t="str">
        <x:v>Local</x:v>
      </x:c>
      <x:c r="E19" s="31" t="str">
        <x:v>İzmir mutfağındaki cibez, Tire civarında hangi adla da bilinir?</x:v>
      </x:c>
      <x:c r="F19" s="31" t="str">
        <x:v>Cücük</x:v>
      </x:c>
      <x:c r="G19" s="31" t="str">
        <x:v>cücük</x:v>
      </x:c>
      <x:c r="H19" s="35" t="str">
        <x:v>https://kulturportali.gov.tr/turkiye/izmir/neyenir/cbez-cibes-salatasi</x:v>
      </x:c>
      <x:c r="I19" s="31" t="str">
        <x:v>Kültür ve Turizm Bakanlığı Kültür Portalı</x:v>
      </x:c>
      <x:c r="J19" s="44" t="str">
        <x:v>L1</x:v>
      </x:c>
      <x:c r="K19" s="33" t="str">
        <x:v>low</x:v>
      </x:c>
      <x:c r="L19" s="33" t="str">
        <x:v>high</x:v>
      </x:c>
      <x:c r="M19" s="34" t="b">
        <x:v>0</x:v>
      </x:c>
      <x:c r="N19" s="33" t="str">
        <x:v>local_terminology</x:v>
      </x:c>
      <x:c r="O19" s="37" t="str">
        <x:v>frozen_dev_v0.2</x:v>
      </x:c>
      <x:c r="P19" s="31" t="str">
        <x:v>L1: yöre ve ana terim bağlamı cevabı daraltır. | FREEZE v0.2: Accepted after complete, concordant double review.</x:v>
      </x:c>
    </x:row>
    <x:row r="20" ht="48" customHeight="1">
      <x:c r="A20" s="31" t="str">
        <x:v>D019</x:v>
      </x:c>
      <x:c r="B20" s="31" t="str">
        <x:v>F113</x:v>
      </x:c>
      <x:c r="C20" s="31" t="str">
        <x:v>K5 — Culinary Terminology &amp; Traditional Practices</x:v>
      </x:c>
      <x:c r="D20" s="31" t="str">
        <x:v>Local</x:v>
      </x:c>
      <x:c r="E20" s="31" t="str">
        <x:v>Edirne mutfağındaki Kaçamak başka hangi adla bilinir?</x:v>
      </x:c>
      <x:c r="F20" s="31" t="str">
        <x:v>Mamaliga</x:v>
      </x:c>
      <x:c r="G20" s="31" t="str">
        <x:v>mamaliga</x:v>
      </x:c>
      <x:c r="H20" s="35" t="str">
        <x:v>https://www.kulturportali.gov.tr/turkiye/edirne/neyenir/kacamak-2</x:v>
      </x:c>
      <x:c r="I20" s="31" t="str">
        <x:v>Kültür ve Turizm Bakanlığı Kültür Portalı</x:v>
      </x:c>
      <x:c r="J20" s="44" t="str">
        <x:v>L1</x:v>
      </x:c>
      <x:c r="K20" s="33" t="str">
        <x:v>low</x:v>
      </x:c>
      <x:c r="L20" s="33" t="str">
        <x:v>high</x:v>
      </x:c>
      <x:c r="M20" s="34" t="b">
        <x:v>0</x:v>
      </x:c>
      <x:c r="N20" s="33" t="str">
        <x:v>local_terminology</x:v>
      </x:c>
      <x:c r="O20" s="37" t="str">
        <x:v>frozen_dev_v0.2</x:v>
      </x:c>
      <x:c r="P20" s="31" t="str">
        <x:v>L1: ana yemek adı bağlam sağlar. | FREEZE v0.2: Accepted after complete, concordant double review.</x:v>
      </x:c>
    </x:row>
    <x:row r="21" ht="48" customHeight="1">
      <x:c r="A21" s="31" t="str">
        <x:v>D020</x:v>
      </x:c>
      <x:c r="B21" s="31" t="str">
        <x:v>F116</x:v>
      </x:c>
      <x:c r="C21" s="31" t="str">
        <x:v>K5 — Culinary Terminology &amp; Traditional Practices</x:v>
      </x:c>
      <x:c r="D21" s="31" t="str">
        <x:v>Local/Heritage</x:v>
      </x:c>
      <x:c r="E21" s="31" t="str">
        <x:v>Afyonkarahisar'da doğumdan sonra misafirlere ikram edilen sıra yemeklerine ne ad verilir?</x:v>
      </x:c>
      <x:c r="F21" s="31" t="str">
        <x:v>Takım</x:v>
      </x:c>
      <x:c r="G21" s="31" t="str">
        <x:v>takım</x:v>
      </x:c>
      <x:c r="H21" s="35" t="str">
        <x:v>https://www.kulturportali.gov.tr/turkiye/afyonkarahisar/kulturatlasi/sira-yemegi</x:v>
      </x:c>
      <x:c r="I21" s="31" t="str">
        <x:v>Kültür ve Turizm Bakanlığı Kültür Portalı</x:v>
      </x:c>
      <x:c r="J21" s="33" t="str">
        <x:v>L0</x:v>
      </x:c>
      <x:c r="K21" s="33" t="str">
        <x:v>low</x:v>
      </x:c>
      <x:c r="L21" s="33" t="str">
        <x:v>high</x:v>
      </x:c>
      <x:c r="M21" s="34" t="b">
        <x:v>0</x:v>
      </x:c>
      <x:c r="N21" s="33" t="str">
        <x:v>local_terminology</x:v>
      </x:c>
      <x:c r="O21" s="37" t="str">
        <x:v>frozen_dev_v0.2</x:v>
      </x:c>
      <x:c r="P21" s="31" t="str">
        <x:v>Yerel doğum yemeği terminolojisi. | FREEZE v0.2: Accepted after complete, concordant double review.</x:v>
      </x:c>
    </x:row>
    <x:row r="22" ht="48" customHeight="1">
      <x:c r="A22" s="31" t="str">
        <x:v>D021</x:v>
      </x:c>
      <x:c r="B22" s="31" t="str">
        <x:v>F117</x:v>
      </x:c>
      <x:c r="C22" s="31" t="str">
        <x:v>K6 — Culinary History, Heritage &amp; Cultural Context</x:v>
      </x:c>
      <x:c r="D22" s="31" t="str">
        <x:v>Local/Heritage</x:v>
      </x:c>
      <x:c r="E22" s="38" t="str">
        <x:v>Afyonkarahisar'da nişan töreninin ertesi günü yapılan geleneksel yemekli davetin adı nedir?</x:v>
      </x:c>
      <x:c r="F22" s="38" t="str">
        <x:v>Zinardı daveti</x:v>
      </x:c>
      <x:c r="G22" s="38" t="str">
        <x:v>zinardı daveti | zinardı | sini ardı daveti | sini ardı</x:v>
      </x:c>
      <x:c r="H22" s="39" t="str">
        <x:v>https://www.kulturportali.gov.tr/turkiye/afyonkarahisar/kulturatlasi/sira-yemegi</x:v>
      </x:c>
      <x:c r="I22" s="38" t="str">
        <x:v>Kültür ve Turizm Bakanlığı Kültür Portalı</x:v>
      </x:c>
      <x:c r="J22" s="40" t="str">
        <x:v>L0</x:v>
      </x:c>
      <x:c r="K22" s="40" t="str">
        <x:v>medium</x:v>
      </x:c>
      <x:c r="L22" s="40" t="str">
        <x:v>high</x:v>
      </x:c>
      <x:c r="M22" s="41" t="b">
        <x:v>0</x:v>
      </x:c>
      <x:c r="N22" s="40" t="str">
        <x:v>local_terminology</x:v>
      </x:c>
      <x:c r="O22" s="42" t="str">
        <x:v>frozen_dev_v0.2</x:v>
      </x:c>
      <x:c r="P22" s="38" t="str">
        <x:v>RESOLVED DURING VALIDATION: Zinardı/sini ardı yazım ve kısa yanıt varyantları onaylanmalı. | FREEZE v0.2: Clarity revision based on independent adjudicator note; answer forms remain unchanged.</x:v>
      </x:c>
    </x:row>
    <x:row r="23" ht="48" customHeight="1">
      <x:c r="A23" s="31" t="str">
        <x:v>D022</x:v>
      </x:c>
      <x:c r="B23" s="31" t="str">
        <x:v>F118</x:v>
      </x:c>
      <x:c r="C23" s="31" t="str">
        <x:v>K5 — Culinary Terminology &amp; Traditional Practices</x:v>
      </x:c>
      <x:c r="D23" s="31" t="str">
        <x:v>Local/Technical</x:v>
      </x:c>
      <x:c r="E23" s="38" t="str">
        <x:v>Afyon mutfak kültüründe yer alan sıra yemeğinde, yemeklerin sofraya geliş sırasını düzenleme işine ne ad verilir?</x:v>
      </x:c>
      <x:c r="F23" s="38" t="str">
        <x:v>Yemek kurtarma</x:v>
      </x:c>
      <x:c r="G23" s="38" t="str">
        <x:v>yemek kurtarma</x:v>
      </x:c>
      <x:c r="H23" s="39" t="str">
        <x:v>https://www.kulturportali.gov.tr/turkiye/afyonkarahisar/kulturatlasi/sira-yemegi</x:v>
      </x:c>
      <x:c r="I23" s="38" t="str">
        <x:v>Kültür ve Turizm Bakanlığı Kültür Portalı</x:v>
      </x:c>
      <x:c r="J23" s="40" t="str">
        <x:v>L0</x:v>
      </x:c>
      <x:c r="K23" s="40" t="str">
        <x:v>low</x:v>
      </x:c>
      <x:c r="L23" s="40" t="str">
        <x:v>high</x:v>
      </x:c>
      <x:c r="M23" s="41" t="b">
        <x:v>0</x:v>
      </x:c>
      <x:c r="N23" s="40" t="str">
        <x:v>local_terminology</x:v>
      </x:c>
      <x:c r="O23" s="42" t="str">
        <x:v>frozen_dev_v0.2</x:v>
      </x:c>
      <x:c r="P23" s="38" t="str">
        <x:v>Yerel servis düzenleme terimi. | FREEZE v0.2: Contextual clarity revision based on independent adjudicator note.</x:v>
      </x:c>
    </x:row>
    <x:row r="24" ht="48" customHeight="1">
      <x:c r="A24" s="31" t="str">
        <x:v>D023</x:v>
      </x:c>
      <x:c r="B24" s="31" t="str">
        <x:v>F008</x:v>
      </x:c>
      <x:c r="C24" s="31" t="str">
        <x:v>K2 — Ingredients &amp; Composition</x:v>
      </x:c>
      <x:c r="D24" s="31" t="str">
        <x:v>Technical</x:v>
      </x:c>
      <x:c r="E24" s="31" t="str">
        <x:v>Kuru Antep Baklavasında raf ömrünü uzatmak amacıyla kullanılmayan bileşen nedir?</x:v>
      </x:c>
      <x:c r="F24" s="31" t="str">
        <x:v>Kaymak</x:v>
      </x:c>
      <x:c r="G24" s="31" t="str">
        <x:v>kaymak</x:v>
      </x:c>
      <x:c r="H24" s="35" t="str">
        <x:v>https://ci.turkpatent.gov.tr/Files/GeographicalSigns/0cbbdd44-8cae-4ef4-af94-b2889a94f28c.pdf</x:v>
      </x:c>
      <x:c r="I24" s="31" t="str">
        <x:v>TÜRKPATENT tescil belgesi</x:v>
      </x:c>
      <x:c r="J24" s="44" t="str">
        <x:v>L1</x:v>
      </x:c>
      <x:c r="K24" s="33" t="str">
        <x:v>low</x:v>
      </x:c>
      <x:c r="L24" s="33" t="str">
        <x:v>high</x:v>
      </x:c>
      <x:c r="M24" s="34" t="b">
        <x:v>0</x:v>
      </x:c>
      <x:c r="N24" s="33" t="str">
        <x:v>technical_culinary</x:v>
      </x:c>
      <x:c r="O24" s="37" t="str">
        <x:v>frozen_dev_v0.2</x:v>
      </x:c>
      <x:c r="P24" s="31" t="str">
        <x:v>L1: 'kuru' ürün türü bağlam sağlar. | FREEZE v0.2: Accepted after complete, concordant double review.</x:v>
      </x:c>
    </x:row>
    <x:row r="25" ht="48" customHeight="1">
      <x:c r="A25" s="31" t="str">
        <x:v>D024</x:v>
      </x:c>
      <x:c r="B25" s="31" t="str">
        <x:v>F016</x:v>
      </x:c>
      <x:c r="C25" s="31" t="str">
        <x:v>K3 — Preparation &amp; Cooking Techniques</x:v>
      </x:c>
      <x:c r="D25" s="31" t="str">
        <x:v>Technical</x:v>
      </x:c>
      <x:c r="E25" s="31" t="str">
        <x:v>Maraş Tarhanası üretiminde yoğurt, dövmeye hangi aşamada eklenir?</x:v>
      </x:c>
      <x:c r="F25" s="31" t="str">
        <x:v>Pişirme ve soğutma sonrasında</x:v>
      </x:c>
      <x:c r="G25" s="31" t="str">
        <x:v>pişirme ve soğutma sonrasında | pişirmeden ve soğutmadan sonra | dövme pişirilip soğutulduktan sonra | pişmiş dövme soğutulduktan sonra</x:v>
      </x:c>
      <x:c r="H25" s="35" t="str">
        <x:v>https://ci.turkpatent.gov.tr/Files/GeographicalSigns/8c3d053b-bb27-4305-a46f-398c181d189e.pdf</x:v>
      </x:c>
      <x:c r="I25" s="31" t="str">
        <x:v>TÜRKPATENT tescil belgesi</x:v>
      </x:c>
      <x:c r="J25" s="33" t="str">
        <x:v>L0</x:v>
      </x:c>
      <x:c r="K25" s="33" t="str">
        <x:v>medium</x:v>
      </x:c>
      <x:c r="L25" s="33" t="str">
        <x:v>high</x:v>
      </x:c>
      <x:c r="M25" s="34" t="b">
        <x:v>0</x:v>
      </x:c>
      <x:c r="N25" s="33" t="str">
        <x:v>technical_culinary</x:v>
      </x:c>
      <x:c r="O25" s="37" t="str">
        <x:v>frozen_dev_v0.2</x:v>
      </x:c>
      <x:c r="P25" s="31" t="str">
        <x:v>RESOLVED DURING VALIDATION: 60 °C'ye kadar soğutma ayrıntısının zorunluluğu belirlenmeli. | FREEZE v0.2: Accepted after complete, concordant double review.</x:v>
      </x:c>
    </x:row>
    <x:row r="26" ht="48" customHeight="1">
      <x:c r="A26" s="31" t="str">
        <x:v>D025</x:v>
      </x:c>
      <x:c r="B26" s="31" t="str">
        <x:v>F018</x:v>
      </x:c>
      <x:c r="C26" s="31" t="str">
        <x:v>K3 — Preparation &amp; Cooking Techniques</x:v>
      </x:c>
      <x:c r="D26" s="31" t="str">
        <x:v>Technical</x:v>
      </x:c>
      <x:c r="E26" s="31" t="str">
        <x:v>Afyon Sucuğu hamuru hangi tür bağırsağa doldurulur?</x:v>
      </x:c>
      <x:c r="F26" s="31" t="str">
        <x:v>Sığır bağırsağı</x:v>
      </x:c>
      <x:c r="G26" s="31" t="str">
        <x:v>sığır bağırsağı | sığır bağırsağına</x:v>
      </x:c>
      <x:c r="H26" s="35" t="str">
        <x:v>https://ci.turkpatent.gov.tr/Files/GeographicalSigns/11b3bb14-c7b9-4447-89c6-e0858d9f2688.pdf</x:v>
      </x:c>
      <x:c r="I26" s="31" t="str">
        <x:v>TÜRKPATENT tescil belgesi</x:v>
      </x:c>
      <x:c r="J26" s="33" t="str">
        <x:v>L0</x:v>
      </x:c>
      <x:c r="K26" s="33" t="str">
        <x:v>low</x:v>
      </x:c>
      <x:c r="L26" s="33" t="str">
        <x:v>high</x:v>
      </x:c>
      <x:c r="M26" s="34" t="b">
        <x:v>0</x:v>
      </x:c>
      <x:c r="N26" s="33" t="str">
        <x:v>technical_culinary</x:v>
      </x:c>
      <x:c r="O26" s="37" t="str">
        <x:v>frozen_dev_v0.2</x:v>
      </x:c>
      <x:c r="P26" s="31" t="str">
        <x:v>Dolum malzemesi. | FREEZE v0.2: Accepted after complete, concordant double review.</x:v>
      </x:c>
    </x:row>
    <x:row r="27" ht="48" customHeight="1">
      <x:c r="A27" s="31" t="str">
        <x:v>D026</x:v>
      </x:c>
      <x:c r="B27" s="31" t="str">
        <x:v>F052</x:v>
      </x:c>
      <x:c r="C27" s="31" t="str">
        <x:v>K3 — Preparation &amp; Cooking Techniques</x:v>
      </x:c>
      <x:c r="D27" s="31" t="str">
        <x:v>Local/Technical</x:v>
      </x:c>
      <x:c r="E27" s="31" t="str">
        <x:v>Malatya Kâğıt Kebabının taş fırını geleneksel olarak hangi odunla ısıtılır?</x:v>
      </x:c>
      <x:c r="F27" s="31" t="str">
        <x:v>Meşe odunu</x:v>
      </x:c>
      <x:c r="G27" s="31" t="str">
        <x:v>meşe odunu | meşe</x:v>
      </x:c>
      <x:c r="H27" s="35" t="str">
        <x:v>https://ci.turkpatent.gov.tr/Files/GeographicalSigns/024913eb-9b44-4d6b-8a23-d1a173884fd5.pdf</x:v>
      </x:c>
      <x:c r="I27" s="31" t="str">
        <x:v>TÜRKPATENT tescil belgesi</x:v>
      </x:c>
      <x:c r="J27" s="33" t="str">
        <x:v>L0</x:v>
      </x:c>
      <x:c r="K27" s="33" t="str">
        <x:v>low</x:v>
      </x:c>
      <x:c r="L27" s="33" t="str">
        <x:v>high</x:v>
      </x:c>
      <x:c r="M27" s="34" t="b">
        <x:v>0</x:v>
      </x:c>
      <x:c r="N27" s="33" t="str">
        <x:v>technical_culinary</x:v>
      </x:c>
      <x:c r="O27" s="37" t="str">
        <x:v>frozen_dev_v0.2</x:v>
      </x:c>
      <x:c r="P27" s="31" t="str">
        <x:v>Yakıt türü. | FREEZE v0.2: Accepted after complete, concordant double review.</x:v>
      </x:c>
    </x:row>
    <x:row r="28" ht="48" customHeight="1">
      <x:c r="A28" s="31" t="str">
        <x:v>D027</x:v>
      </x:c>
      <x:c r="B28" s="31" t="str">
        <x:v>F062</x:v>
      </x:c>
      <x:c r="C28" s="31" t="str">
        <x:v>K3 — Preparation &amp; Cooking Techniques</x:v>
      </x:c>
      <x:c r="D28" s="31" t="str">
        <x:v>Local/Technical</x:v>
      </x:c>
      <x:c r="E28" s="31" t="str">
        <x:v>Ordu Tostu için üretilen özel ekmek geleneksel olarak hangi yakıtla pişirilir?</x:v>
      </x:c>
      <x:c r="F28" s="31" t="str">
        <x:v>Fındık kabuğu</x:v>
      </x:c>
      <x:c r="G28" s="31" t="str">
        <x:v>fındık kabuğu | fındık kabuğu ateşi | fındık kabuğu ateşinde</x:v>
      </x:c>
      <x:c r="H28" s="35" t="str">
        <x:v>https://ci.turkpatent.gov.tr/Files/GeographicalSigns/3612f8b8-12ff-4c4d-bc58-896f37cec09b.pdf</x:v>
      </x:c>
      <x:c r="I28" s="31" t="str">
        <x:v>TÜRKPATENT tescil belgesi</x:v>
      </x:c>
      <x:c r="J28" s="33" t="str">
        <x:v>L0</x:v>
      </x:c>
      <x:c r="K28" s="33" t="str">
        <x:v>low</x:v>
      </x:c>
      <x:c r="L28" s="33" t="str">
        <x:v>high</x:v>
      </x:c>
      <x:c r="M28" s="34" t="b">
        <x:v>0</x:v>
      </x:c>
      <x:c r="N28" s="33" t="str">
        <x:v>technical_culinary</x:v>
      </x:c>
      <x:c r="O28" s="37" t="str">
        <x:v>frozen_dev_v0.2</x:v>
      </x:c>
      <x:c r="P28" s="31" t="str">
        <x:v>Özel ekmeğin pişirme yakıtı. | FREEZE v0.2: Accepted after complete, concordant double review.</x:v>
      </x:c>
    </x:row>
    <x:row r="29" ht="48" customHeight="1">
      <x:c r="A29" s="31" t="str">
        <x:v>D028</x:v>
      </x:c>
      <x:c r="B29" s="31" t="str">
        <x:v>F109</x:v>
      </x:c>
      <x:c r="C29" s="31" t="str">
        <x:v>K3 — Preparation &amp; Cooking Techniques</x:v>
      </x:c>
      <x:c r="D29" s="31" t="str">
        <x:v>Local/Technical</x:v>
      </x:c>
      <x:c r="E29" s="31" t="str">
        <x:v>Tekirdağ Bulamasında köpük oluşturmak amacıyla kullanılan geleneksel bitkisel bileşen nedir?</x:v>
      </x:c>
      <x:c r="F29" s="31" t="str">
        <x:v>Çöven</x:v>
      </x:c>
      <x:c r="G29" s="31" t="str">
        <x:v>çöven | çöğen</x:v>
      </x:c>
      <x:c r="H29" s="35" t="str">
        <x:v>https://www.kulturportali.gov.tr/turkiye/tekirdag/neyenir/bulama</x:v>
      </x:c>
      <x:c r="I29" s="31" t="str">
        <x:v>Kültür ve Turizm Bakanlığı Kültür Portalı</x:v>
      </x:c>
      <x:c r="J29" s="33" t="str">
        <x:v>L0</x:v>
      </x:c>
      <x:c r="K29" s="33" t="str">
        <x:v>medium</x:v>
      </x:c>
      <x:c r="L29" s="33" t="str">
        <x:v>high</x:v>
      </x:c>
      <x:c r="M29" s="34" t="b">
        <x:v>0</x:v>
      </x:c>
      <x:c r="N29" s="33" t="str">
        <x:v>technical_culinary</x:v>
      </x:c>
      <x:c r="O29" s="37" t="str">
        <x:v>frozen_dev_v0.2</x:v>
      </x:c>
      <x:c r="P29" s="31" t="str">
        <x:v>RESOLVED DURING VALIDATION: Çöven/çöğen yazım varyantlarının eşdeğerliği doğrulanmalı. | FREEZE v0.2: Accepted after complete, concordant double review.</x:v>
      </x:c>
    </x:row>
    <x:row r="30" ht="48" customHeight="1">
      <x:c r="A30" s="31" t="str">
        <x:v>D029</x:v>
      </x:c>
      <x:c r="B30" s="31" t="str">
        <x:v>F027</x:v>
      </x:c>
      <x:c r="C30" s="31" t="str">
        <x:v>K5 — Culinary Terminology &amp; Traditional Practices</x:v>
      </x:c>
      <x:c r="D30" s="31" t="str">
        <x:v>General/Heritage</x:v>
      </x:c>
      <x:c r="E30" s="31" t="str">
        <x:v>Türk kahvesi içildikten sonra fincanda kalan telve geleneksel olarak hangi uygulamada kullanılır?</x:v>
      </x:c>
      <x:c r="F30" s="31" t="str">
        <x:v>Fal bakmak</x:v>
      </x:c>
      <x:c r="G30" s="31" t="str">
        <x:v>fal bakmak | kahve falı | kahve falı bakmak | falcılık</x:v>
      </x:c>
      <x:c r="H30" s="35" t="str">
        <x:v>https://ich.unesco.org/en/RL/turkish-coffee-culture-and-tradition-00645</x:v>
      </x:c>
      <x:c r="I30" s="31" t="str">
        <x:v>UNESCO ICH kaydı</x:v>
      </x:c>
      <x:c r="J30" s="33" t="str">
        <x:v>L0</x:v>
      </x:c>
      <x:c r="K30" s="33" t="str">
        <x:v>low</x:v>
      </x:c>
      <x:c r="L30" s="33" t="str">
        <x:v>high</x:v>
      </x:c>
      <x:c r="M30" s="34" t="b">
        <x:v>0</x:v>
      </x:c>
      <x:c r="N30" s="33" t="str">
        <x:v>cultural_heritage</x:v>
      </x:c>
      <x:c r="O30" s="37" t="str">
        <x:v>frozen_dev_v0.2</x:v>
      </x:c>
      <x:c r="P30" s="31" t="str">
        <x:v>UNESCO kaydındaki sosyal uygulama. | FREEZE v0.2: Accepted after complete, concordant double review.</x:v>
      </x:c>
    </x:row>
    <x:row r="31" ht="48" customHeight="1">
      <x:c r="A31" s="31" t="str">
        <x:v>D030</x:v>
      </x:c>
      <x:c r="B31" s="31" t="str">
        <x:v>F036</x:v>
      </x:c>
      <x:c r="C31" s="31" t="str">
        <x:v>K6 — Culinary History, Heritage &amp; Cultural Context</x:v>
      </x:c>
      <x:c r="D31" s="31" t="str">
        <x:v>General/Heritage</x:v>
      </x:c>
      <x:c r="E31" s="31" t="str">
        <x:v>Türkiye ile birlikte Çay Kültürü unsurunu UNESCO'ya ortak kaydettiren ülke hangisidir?</x:v>
      </x:c>
      <x:c r="F31" s="31" t="str">
        <x:v>Azerbaycan</x:v>
      </x:c>
      <x:c r="G31" s="31" t="str">
        <x:v>azerbaycan | azerbaijan</x:v>
      </x:c>
      <x:c r="H31" s="35" t="str">
        <x:v>https://ich.unesco.org/en/RL/culture-of-cay-tea-a-symbol-of-identity-hospitality-and-social-interaction-01685</x:v>
      </x:c>
      <x:c r="I31" s="31" t="str">
        <x:v>UNESCO ICH kaydı</x:v>
      </x:c>
      <x:c r="J31" s="33" t="str">
        <x:v>L0</x:v>
      </x:c>
      <x:c r="K31" s="33" t="str">
        <x:v>low</x:v>
      </x:c>
      <x:c r="L31" s="33" t="str">
        <x:v>high</x:v>
      </x:c>
      <x:c r="M31" s="34" t="b">
        <x:v>0</x:v>
      </x:c>
      <x:c r="N31" s="33" t="str">
        <x:v>cultural_heritage</x:v>
      </x:c>
      <x:c r="O31" s="37" t="str">
        <x:v>frozen_dev_v0.2</x:v>
      </x:c>
      <x:c r="P31" s="31" t="str">
        <x:v>Ortak UNESCO kaydındaki diğer ülke. | FREEZE v0.2: Accepted after complete, concordant double review.</x:v>
      </x:c>
    </x:row>
    <x:row r="32" ht="48" customHeight="1">
      <x:c r="A32" s="31" t="str">
        <x:v>D031</x:v>
      </x:c>
      <x:c r="B32" s="31" t="str">
        <x:v>F084</x:v>
      </x:c>
      <x:c r="C32" s="31" t="str">
        <x:v>K6 — Culinary History, Heritage &amp; Cultural Context</x:v>
      </x:c>
      <x:c r="D32" s="31" t="str">
        <x:v>General/Heritage</x:v>
      </x:c>
      <x:c r="E32" s="31" t="str">
        <x:v>Geleneksel yassı ekmek yapımı aile dışında hangi öğrenme ilişkisiyle aktarılır?</x:v>
      </x:c>
      <x:c r="F32" s="31" t="str">
        <x:v>Usta-çırak</x:v>
      </x:c>
      <x:c r="G32" s="31" t="str">
        <x:v>usta-çırak | usta çırak | ustadan çırağa | usta-çırak ilişkisi</x:v>
      </x:c>
      <x:c r="H32" s="35" t="str">
        <x:v>https://ich.unesco.org/en/RL/flatbread-making-and-sharing-culture-lavash-katyrma-jupka-yufka-01181</x:v>
      </x:c>
      <x:c r="I32" s="31" t="str">
        <x:v>UNESCO ICH kaydı</x:v>
      </x:c>
      <x:c r="J32" s="33" t="str">
        <x:v>L0</x:v>
      </x:c>
      <x:c r="K32" s="33" t="str">
        <x:v>low</x:v>
      </x:c>
      <x:c r="L32" s="33" t="str">
        <x:v>high</x:v>
      </x:c>
      <x:c r="M32" s="34" t="b">
        <x:v>0</x:v>
      </x:c>
      <x:c r="N32" s="33" t="str">
        <x:v>cultural_heritage</x:v>
      </x:c>
      <x:c r="O32" s="37" t="str">
        <x:v>frozen_dev_v0.2</x:v>
      </x:c>
      <x:c r="P32" s="31" t="str">
        <x:v>UNESCO aktarım biçimi. | FREEZE v0.2: Accepted after complete, concordant double review.</x:v>
      </x:c>
    </x:row>
    <x:row r="33" ht="48" customHeight="1">
      <x:c r="A33" s="31" t="str">
        <x:v>D032</x:v>
      </x:c>
      <x:c r="B33" s="31" t="str">
        <x:v>F085</x:v>
      </x:c>
      <x:c r="C33" s="31" t="str">
        <x:v>K6 — Culinary History, Heritage &amp; Cultural Context</x:v>
      </x:c>
      <x:c r="D33" s="31" t="str">
        <x:v>Local/Heritage</x:v>
      </x:c>
      <x:c r="E33" s="31" t="str">
        <x:v>Törensel Keşkek geleneğinde buğday, törenden önceki gün hangi uygulama eşliğinde yıkanır?</x:v>
      </x:c>
      <x:c r="F33" s="31" t="str">
        <x:v>Dua</x:v>
      </x:c>
      <x:c r="G33" s="31" t="str">
        <x:v>dua | dualar | dua ederek | dualarla</x:v>
      </x:c>
      <x:c r="H33" s="35" t="str">
        <x:v>https://ich.unesco.org/en/RL/ceremonial-keskek-tradition-00388</x:v>
      </x:c>
      <x:c r="I33" s="31" t="str">
        <x:v>UNESCO ICH kaydı</x:v>
      </x:c>
      <x:c r="J33" s="33" t="str">
        <x:v>L0</x:v>
      </x:c>
      <x:c r="K33" s="33" t="str">
        <x:v>low</x:v>
      </x:c>
      <x:c r="L33" s="33" t="str">
        <x:v>high</x:v>
      </x:c>
      <x:c r="M33" s="34" t="b">
        <x:v>0</x:v>
      </x:c>
      <x:c r="N33" s="33" t="str">
        <x:v>cultural_heritage</x:v>
      </x:c>
      <x:c r="O33" s="37" t="str">
        <x:v>frozen_dev_v0.2</x:v>
      </x:c>
      <x:c r="P33" s="31" t="str">
        <x:v>Törensel hazırlık uygulaması. | FREEZE v0.2: Accepted after complete, concordant double review.</x:v>
      </x:c>
    </x:row>
    <x:row r="34" ht="48" customHeight="1">
      <x:c r="A34" s="31" t="str">
        <x:v>D033</x:v>
      </x:c>
      <x:c r="B34" s="31" t="str">
        <x:v>F096</x:v>
      </x:c>
      <x:c r="C34" s="31" t="str">
        <x:v>K6 — Culinary History, Heritage &amp; Cultural Context</x:v>
      </x:c>
      <x:c r="D34" s="31" t="str">
        <x:v>Local/Heritage</x:v>
      </x:c>
      <x:c r="E34" s="31" t="str">
        <x:v>Mesir Macunu Festivali tarihsel olarak kimin iyileşmesini anar?</x:v>
      </x:c>
      <x:c r="F34" s="31" t="str">
        <x:v>Hafsa Sultan</x:v>
      </x:c>
      <x:c r="G34" s="31" t="str">
        <x:v>hafsa sultan | ayşe hafsa sultan</x:v>
      </x:c>
      <x:c r="H34" s="35" t="str">
        <x:v>https://ich.unesco.org/en/RL/mesir-macunu-festival-00642</x:v>
      </x:c>
      <x:c r="I34" s="31" t="str">
        <x:v>UNESCO ICH kaydı</x:v>
      </x:c>
      <x:c r="J34" s="33" t="str">
        <x:v>L0</x:v>
      </x:c>
      <x:c r="K34" s="33" t="str">
        <x:v>low</x:v>
      </x:c>
      <x:c r="L34" s="33" t="str">
        <x:v>high</x:v>
      </x:c>
      <x:c r="M34" s="34" t="b">
        <x:v>0</x:v>
      </x:c>
      <x:c r="N34" s="33" t="str">
        <x:v>cultural_heritage</x:v>
      </x:c>
      <x:c r="O34" s="37" t="str">
        <x:v>frozen_dev_v0.2</x:v>
      </x:c>
      <x:c r="P34" s="31" t="str">
        <x:v>Festivalin tarihsel anlatısındaki kişi. | FREEZE v0.2: Accepted after complete, concordant double review.</x:v>
      </x:c>
    </x:row>
    <x:row r="35" ht="48" customHeight="1">
      <x:c r="A35" s="31" t="str">
        <x:v>D034</x:v>
      </x:c>
      <x:c r="B35" s="31" t="str">
        <x:v>F101</x:v>
      </x:c>
      <x:c r="C35" s="31" t="str">
        <x:v>K6 — Culinary History, Heritage &amp; Cultural Context</x:v>
      </x:c>
      <x:c r="D35" s="31" t="str">
        <x:v>General/Heritage</x:v>
      </x:c>
      <x:c r="E35" s="38" t="str">
        <x:v>Türkiye'de güllaç geleneksel olarak hangi ayla özdeşleşir?</x:v>
      </x:c>
      <x:c r="F35" s="38" t="str">
        <x:v>Ramazan</x:v>
      </x:c>
      <x:c r="G35" s="38" t="str">
        <x:v>ramazan | ramazan ayı</x:v>
      </x:c>
      <x:c r="H35" s="39" t="str">
        <x:v>https://kulturportali.gov.tr/portal/geleneksel-lezzetler--7-ozel-gun-yemegi</x:v>
      </x:c>
      <x:c r="I35" s="38" t="str">
        <x:v>Kültür ve Turizm Bakanlığı Kültür Portalı</x:v>
      </x:c>
      <x:c r="J35" s="40" t="str">
        <x:v>L0</x:v>
      </x:c>
      <x:c r="K35" s="40" t="str">
        <x:v>low</x:v>
      </x:c>
      <x:c r="L35" s="40" t="str">
        <x:v>high</x:v>
      </x:c>
      <x:c r="M35" s="41" t="b">
        <x:v>0</x:v>
      </x:c>
      <x:c r="N35" s="40" t="str">
        <x:v>cultural_heritage</x:v>
      </x:c>
      <x:c r="O35" s="42" t="str">
        <x:v>frozen_dev_v0.2</x:v>
      </x:c>
      <x:c r="P35" s="38" t="str">
        <x:v>Kültür Portalındaki özel gün bağlamı. | FREEZE v0.2: Removed the broader 'dönem' alternative so the response type is unambiguously a month.</x:v>
      </x:c>
    </x:row>
    <x:row r="36" ht="48" customHeight="1">
      <x:c r="A36" s="31" t="str">
        <x:v>D035</x:v>
      </x:c>
      <x:c r="B36" s="31" t="str">
        <x:v>F010</x:v>
      </x:c>
      <x:c r="C36" s="31" t="str">
        <x:v>K4 — Geographical Indications &amp; Product Specifications</x:v>
      </x:c>
      <x:c r="D36" s="31" t="str">
        <x:v>Technical</x:v>
      </x:c>
      <x:c r="E36" s="31" t="str">
        <x:v>Afyon Sucuğunda manda etinin asgari oranı yüzde kaçtır?</x:v>
      </x:c>
      <x:c r="F36" s="31" t="str">
        <x:v>En az %15</x:v>
      </x:c>
      <x:c r="G36" s="31" t="str">
        <x:v>15 | %15 | yüzde 15 | en az %15 | en az yüzde 15</x:v>
      </x:c>
      <x:c r="H36" s="35" t="str">
        <x:v>https://ci.turkpatent.gov.tr/Files/GeographicalSigns/8eb202f7-bf82-48cd-9f21-955bc921c665.pdf</x:v>
      </x:c>
      <x:c r="I36" s="31" t="str">
        <x:v>TÜRKPATENT tescil belgesi</x:v>
      </x:c>
      <x:c r="J36" s="44" t="str">
        <x:v>L1</x:v>
      </x:c>
      <x:c r="K36" s="33" t="str">
        <x:v>low</x:v>
      </x:c>
      <x:c r="L36" s="33" t="str">
        <x:v>high</x:v>
      </x:c>
      <x:c r="M36" s="45" t="b">
        <x:v>1</x:v>
      </x:c>
      <x:c r="N36" s="36" t="str">
        <x:v>numeric_answer</x:v>
      </x:c>
      <x:c r="O36" s="37" t="str">
        <x:v>frozen_dev_v0.2</x:v>
      </x:c>
      <x:c r="P36" s="31" t="str">
        <x:v>L1: yüzde biçimi verilir; değer sızmaz. | FREEZE v0.2: Accepted after complete, concordant double review.</x:v>
      </x:c>
    </x:row>
    <x:row r="37" ht="48" customHeight="1">
      <x:c r="A37" s="31" t="str">
        <x:v>D036</x:v>
      </x:c>
      <x:c r="B37" s="31" t="str">
        <x:v>F088</x:v>
      </x:c>
      <x:c r="C37" s="31" t="str">
        <x:v>K3 — Preparation &amp; Cooking Techniques</x:v>
      </x:c>
      <x:c r="D37" s="31" t="str">
        <x:v>Local/Heritage</x:v>
      </x:c>
      <x:c r="E37" s="31" t="str">
        <x:v>Törensel Keşkek hazırlığında buğday taş havanda kaç kişi tarafından dövülür?</x:v>
      </x:c>
      <x:c r="F37" s="31" t="str">
        <x:v>2–4 kişi</x:v>
      </x:c>
      <x:c r="G37" s="31" t="str">
        <x:v>2-4 | 2–4 | 2 ila 4 | iki ila dört | iki-dört kişi</x:v>
      </x:c>
      <x:c r="H37" s="35" t="str">
        <x:v>https://ich.unesco.org/en/RL/ceremonial-keskek-tradition-00388</x:v>
      </x:c>
      <x:c r="I37" s="31" t="str">
        <x:v>UNESCO ICH kaydı</x:v>
      </x:c>
      <x:c r="J37" s="33" t="str">
        <x:v>L0</x:v>
      </x:c>
      <x:c r="K37" s="33" t="str">
        <x:v>medium</x:v>
      </x:c>
      <x:c r="L37" s="33" t="str">
        <x:v>high</x:v>
      </x:c>
      <x:c r="M37" s="45" t="b">
        <x:v>1</x:v>
      </x:c>
      <x:c r="N37" s="36" t="str">
        <x:v>numeric_answer</x:v>
      </x:c>
      <x:c r="O37" s="37" t="str">
        <x:v>frozen_dev_v0.2</x:v>
      </x:c>
      <x:c r="P37" s="31" t="str">
        <x:v>RESOLVED DURING VALIDATION: Parser sayısal aralığı tek değer değil aralık olarak değerlendirmeli. | FREEZE v0.2: Accepted after complete, concordant double review.</x:v>
      </x:c>
    </x:row>
  </x:sheetData>
  <x:dataValidations count="6">
    <x:dataValidation type="list" sqref="J2:J200">
      <x:formula1>"L0,L1,L2"</x:formula1>
    </x:dataValidation>
    <x:dataValidation type="list" sqref="K2:K200">
      <x:formula1>"low,medium,high"</x:formula1>
    </x:dataValidation>
    <x:dataValidation type="list" sqref="L2:L200">
      <x:formula1>"high,medium,low"</x:formula1>
    </x:dataValidation>
    <x:dataValidation type="list" sqref="M2:M200">
      <x:formula1>"TRUE,FALSE"</x:formula1>
    </x:dataValidation>
    <x:dataValidation type="list" sqref="N2:N200">
      <x:formula1>"clear_single_word,multi_word_accepted,local_terminology,technical_culinary,cultural_heritage,numeric_answer"</x:formula1>
    </x:dataValidation>
    <x:dataValidation type="list" sqref="O2:O200">
      <x:formula1>"frozen_dev_v0.2"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be6f3ee2464c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17.5" hidden="0" customWidth="1"/>
    <x:col min="3" max="3" width="17.5" hidden="0" customWidth="1"/>
    <x:col min="4" max="4" width="17.5" hidden="0" customWidth="1"/>
  </x:cols>
  <x:sheetData>
    <x:row r="1" ht="27" customHeight="1">
      <x:c r="A1" s="3" t="str">
        <x:v>TurkCuisineBench-Dev v0.2 — QA Summary</x:v>
      </x:c>
      <x:c r="B1" s="3"/>
      <x:c r="C1" s="3"/>
      <x:c r="D1" s="3"/>
    </x:row>
    <x:row r="3">
      <x:c r="A3" s="11" t="str">
        <x:v>Check</x:v>
      </x:c>
      <x:c r="B3" s="11" t="str">
        <x:v>Target</x:v>
      </x:c>
      <x:c r="C3" s="11" t="str">
        <x:v>Observed</x:v>
      </x:c>
      <x:c r="D3" s="11" t="str">
        <x:v>Result</x:v>
      </x:c>
    </x:row>
    <x:row r="4">
      <x:c r="A4" s="12" t="str">
        <x:v>clear_single_word</x:v>
      </x:c>
      <x:c r="B4" s="12" t="n">
        <x:v>8</x:v>
      </x:c>
      <x:c r="C4" s="12" t="n">
        <x:f>COUNTIF('Dev_Items'!$N$2:$N$37,A4)</x:f>
        <x:v>8</x:v>
      </x:c>
      <x:c r="D4" s="48" t="str">
        <x:f>IF(B4=C4,"PASS","CHECK")</x:f>
        <x:v>PASS</x:v>
      </x:c>
    </x:row>
    <x:row r="5">
      <x:c r="A5" s="12" t="str">
        <x:v>multi_word_accepted</x:v>
      </x:c>
      <x:c r="B5" s="12" t="n">
        <x:v>6</x:v>
      </x:c>
      <x:c r="C5" s="12" t="n">
        <x:f>COUNTIF('Dev_Items'!$N$2:$N$37,A5)</x:f>
        <x:v>6</x:v>
      </x:c>
      <x:c r="D5" s="48" t="str">
        <x:f>IF(B5=C5,"PASS","CHECK")</x:f>
        <x:v>PASS</x:v>
      </x:c>
    </x:row>
    <x:row r="6">
      <x:c r="A6" s="12" t="str">
        <x:v>local_terminology</x:v>
      </x:c>
      <x:c r="B6" s="12" t="n">
        <x:v>8</x:v>
      </x:c>
      <x:c r="C6" s="12" t="n">
        <x:f>COUNTIF('Dev_Items'!$N$2:$N$37,A6)</x:f>
        <x:v>8</x:v>
      </x:c>
      <x:c r="D6" s="48" t="str">
        <x:f>IF(B6=C6,"PASS","CHECK")</x:f>
        <x:v>PASS</x:v>
      </x:c>
    </x:row>
    <x:row r="7">
      <x:c r="A7" s="12" t="str">
        <x:v>technical_culinary</x:v>
      </x:c>
      <x:c r="B7" s="12" t="n">
        <x:v>6</x:v>
      </x:c>
      <x:c r="C7" s="12" t="n">
        <x:f>COUNTIF('Dev_Items'!$N$2:$N$37,A7)</x:f>
        <x:v>6</x:v>
      </x:c>
      <x:c r="D7" s="48" t="str">
        <x:f>IF(B7=C7,"PASS","CHECK")</x:f>
        <x:v>PASS</x:v>
      </x:c>
    </x:row>
    <x:row r="8">
      <x:c r="A8" s="12" t="str">
        <x:v>cultural_heritage</x:v>
      </x:c>
      <x:c r="B8" s="12" t="n">
        <x:v>6</x:v>
      </x:c>
      <x:c r="C8" s="12" t="n">
        <x:f>COUNTIF('Dev_Items'!$N$2:$N$37,A8)</x:f>
        <x:v>6</x:v>
      </x:c>
      <x:c r="D8" s="48" t="str">
        <x:f>IF(B8=C8,"PASS","CHECK")</x:f>
        <x:v>PASS</x:v>
      </x:c>
    </x:row>
    <x:row r="9">
      <x:c r="A9" s="12" t="str">
        <x:v>numeric_answer</x:v>
      </x:c>
      <x:c r="B9" s="12" t="n">
        <x:v>2</x:v>
      </x:c>
      <x:c r="C9" s="12" t="n">
        <x:f>COUNTIF('Dev_Items'!$N$2:$N$37,A9)</x:f>
        <x:v>2</x:v>
      </x:c>
      <x:c r="D9" s="48" t="str">
        <x:f>IF(B9=C9,"PASS","CHECK")</x:f>
        <x:v>PASS</x:v>
      </x:c>
    </x:row>
    <x:row r="10">
      <x:c r="D10" s="48"/>
    </x:row>
    <x:row r="11">
      <x:c r="A11" s="11" t="str">
        <x:v>Additional check</x:v>
      </x:c>
      <x:c r="B11" s="11" t="str">
        <x:v>Target</x:v>
      </x:c>
      <x:c r="C11" s="11" t="str">
        <x:v>Observed</x:v>
      </x:c>
      <x:c r="D11" s="47" t="str">
        <x:v>Result</x:v>
      </x:c>
    </x:row>
    <x:row r="12">
      <x:c r="A12" s="12" t="str">
        <x:v>Total items</x:v>
      </x:c>
      <x:c r="B12" s="12" t="n">
        <x:v>36</x:v>
      </x:c>
      <x:c r="C12" s="12" t="n">
        <x:f>COUNTA('Dev_Items'!$A$2:$A$37)</x:f>
        <x:v>36</x:v>
      </x:c>
      <x:c r="D12" s="48" t="str">
        <x:f>IF(B12=C12,"PASS","CHECK")</x:f>
        <x:v>PASS</x:v>
      </x:c>
    </x:row>
    <x:row r="13">
      <x:c r="A13" s="12" t="str">
        <x:v>L2 lexical leakage</x:v>
      </x:c>
      <x:c r="B13" s="12" t="n">
        <x:v>0</x:v>
      </x:c>
      <x:c r="C13" s="12" t="n">
        <x:f>COUNTIF('Dev_Items'!$J$2:$J$37,"L2")</x:f>
        <x:v>0</x:v>
      </x:c>
      <x:c r="D13" s="48" t="str">
        <x:f>IF(B13=C13,"PASS","CHECK")</x:f>
        <x:v>PASS</x:v>
      </x:c>
    </x:row>
    <x:row r="14">
      <x:c r="A14" s="12" t="str">
        <x:v>L1 boundary cases</x:v>
      </x:c>
      <x:c r="B14" s="12" t="str">
        <x:v>&gt;= 2</x:v>
      </x:c>
      <x:c r="C14" s="12" t="n">
        <x:f>COUNTIF('Dev_Items'!$J$2:$J$37,"L1")</x:f>
        <x:v>4</x:v>
      </x:c>
      <x:c r="D14" s="48" t="str">
        <x:f>IF(C14&gt;=2,"PASS","CHECK")</x:f>
        <x:v>PASS</x:v>
      </x:c>
    </x:row>
    <x:row r="15">
      <x:c r="A15" s="12" t="str">
        <x:v>Numeric-answer rows</x:v>
      </x:c>
      <x:c r="B15" s="12" t="n">
        <x:v>2</x:v>
      </x:c>
      <x:c r="C15" s="12" t="n">
        <x:f>COUNTIF('Dev_Items'!$N$2:$N$37,"numeric_answer")</x:f>
        <x:v>2</x:v>
      </x:c>
      <x:c r="D15" s="48" t="str">
        <x:f>IF(B15=C15,"PASS","CHECK")</x:f>
        <x:v>PASS</x:v>
      </x:c>
    </x:row>
    <x:row r="16">
      <x:c r="A16" s="12" t="str">
        <x:v>Frozen item status</x:v>
      </x:c>
      <x:c r="B16" s="12" t="n">
        <x:v>36</x:v>
      </x:c>
      <x:c r="C16" s="12" t="n">
        <x:f>COUNTIF('Dev_Items'!$O$2:$O$37,"frozen_dev_v0.2")</x:f>
        <x:v>36</x:v>
      </x:c>
      <x:c r="D16" s="48" t="str">
        <x:f>IF(B16=C16,"PASS","CHECK")</x:f>
        <x:v>PASS</x:v>
      </x:c>
    </x:row>
    <x:row r="17">
      <x:c r="A17" s="12" t="str">
        <x:v>Populated source URLs</x:v>
      </x:c>
      <x:c r="B17" s="12" t="n">
        <x:v>36</x:v>
      </x:c>
      <x:c r="C17" s="12" t="n">
        <x:f>COUNTA('Dev_Items'!$H$2:$H$37)</x:f>
        <x:v>36</x:v>
      </x:c>
      <x:c r="D17" s="48" t="str">
        <x:f>IF(B17=C17,"PASS","CHECK")</x:f>
        <x:v>PASS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90" hidden="0" customWidth="1"/>
  </x:cols>
  <x:sheetData>
    <x:row r="1" ht="27" customHeight="1">
      <x:c r="A1" s="3" t="str">
        <x:v>Freeze Record — TurkCuisineBench-Dev v0.2</x:v>
      </x:c>
      <x:c r="B1" s="3"/>
    </x:row>
    <x:row r="3">
      <x:c r="A3" s="6" t="str">
        <x:v>freeze_version</x:v>
      </x:c>
      <x:c r="B3" s="49" t="str">
        <x:v>v0.2</x:v>
      </x:c>
    </x:row>
    <x:row r="4">
      <x:c r="A4" s="6" t="str">
        <x:v>freeze_date</x:v>
      </x:c>
      <x:c r="B4" s="49" t="str">
        <x:v>2026-08-25</x:v>
      </x:c>
    </x:row>
    <x:row r="5">
      <x:c r="A5" s="6" t="str">
        <x:v>item_count</x:v>
      </x:c>
      <x:c r="B5" s="49" t="n">
        <x:v>36</x:v>
      </x:c>
    </x:row>
    <x:row r="6">
      <x:c r="A6" s="6" t="str">
        <x:v>double_review_complete</x:v>
      </x:c>
      <x:c r="B6" s="49" t="str">
        <x:v>yes</x:v>
      </x:c>
    </x:row>
    <x:row r="7">
      <x:c r="A7" s="6" t="str">
        <x:v>independent_adjudication_items</x:v>
      </x:c>
      <x:c r="B7" s="49" t="str">
        <x:v>D002 | D021 | D022 | D034</x:v>
      </x:c>
    </x:row>
    <x:row r="8">
      <x:c r="A8" s="6" t="str">
        <x:v>adjudication_evidence_type</x:v>
      </x:c>
      <x:c r="B8" s="49" t="str">
        <x:v>independent adjudicator wording notes transcribed by lead researcher</x:v>
      </x:c>
    </x:row>
    <x:row r="9">
      <x:c r="A9" s="6" t="str">
        <x:v>adjudicator_return_sha256</x:v>
      </x:c>
      <x:c r="B9" s="49" t="str">
        <x:v>0b2630d7777fac8829fa8dbf0087cca0adeedde5b36d88090627e1969aac3caf</x:v>
      </x:c>
    </x:row>
    <x:row r="10">
      <x:c r="A10" s="6" t="str">
        <x:v>gold_or_accepted_answer_changes</x:v>
      </x:c>
      <x:c r="B10" s="49" t="n">
        <x:v>0</x:v>
      </x:c>
    </x:row>
    <x:row r="11">
      <x:c r="A11" s="6" t="str">
        <x:v>question_wording_changes</x:v>
      </x:c>
      <x:c r="B11" s="49" t="n">
        <x:v>4</x:v>
      </x:c>
    </x:row>
    <x:row r="12">
      <x:c r="A12" s="6" t="str">
        <x:v>hash_manifest</x:v>
      </x:c>
      <x:c r="B12" s="49" t="str">
        <x:v>SHA256SUMS.txt in the release directory</x:v>
      </x:c>
    </x:row>
  </x:sheetData>
  <x:mergeCells>
    <x:mergeCell ref="A1:B1"/>
  </x:mergeCells>
  <x:pageMargins left="0.7" right="0.7" top="0.75" bottom="0.75" header="0.3" footer="0.3"/>
</x:worksheet>
</file>