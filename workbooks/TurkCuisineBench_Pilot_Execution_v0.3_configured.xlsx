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93682125ae44f0" /></Relationships>
</file>

<file path=xl/workbook.xml><?xml version="1.0" encoding="utf-8"?>
<x:workbook xmlns:x="http://schemas.openxmlformats.org/spreadsheetml/2006/main">
  <x:sheets>
    <x:sheet xmlns:r="http://schemas.openxmlformats.org/officeDocument/2006/relationships" name="README" sheetId="1" r:id="Rd3d8394c565b48fc"/>
    <x:sheet xmlns:r="http://schemas.openxmlformats.org/officeDocument/2006/relationships" name="Model_Settings" sheetId="2" r:id="R6ec50e5e29d14308"/>
    <x:sheet xmlns:r="http://schemas.openxmlformats.org/officeDocument/2006/relationships" name="Dev_Items" sheetId="3" r:id="Rc05ae9db06cf40de"/>
    <x:sheet xmlns:r="http://schemas.openxmlformats.org/officeDocument/2006/relationships" name="Requests" sheetId="4" r:id="Re2de30e422ac491f"/>
    <x:sheet xmlns:r="http://schemas.openxmlformats.org/officeDocument/2006/relationships" name="Responses" sheetId="5" r:id="Rcdf9c903a3f548fb"/>
    <x:sheet xmlns:r="http://schemas.openxmlformats.org/officeDocument/2006/relationships" name="Normalization_Tests" sheetId="6" r:id="Rdc8e4fe28ce545ea"/>
    <x:sheet xmlns:r="http://schemas.openxmlformats.org/officeDocument/2006/relationships" name="Dashboard" sheetId="7" r:id="Rbcd39e71bb534216"/>
    <x:sheet xmlns:r="http://schemas.openxmlformats.org/officeDocument/2006/relationships" name="Freeze_Record" sheetId="8" r:id="R25e3bca7a7264b0d"/>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7"/>
      <x:color rgb="FFFFFFFF"/>
      <x:name val="Carlito"/>
    </x:font>
    <x:font>
      <x:b/>
      <x:sz val="11"/>
      <x:color rgb="FF173B5B"/>
      <x:name val="Carlito"/>
    </x:font>
    <x:font>
      <x:b/>
      <x:sz val="10"/>
      <x:color rgb="FFFFFFFF"/>
      <x:name val="Carlito"/>
    </x:font>
    <x:font>
      <x:sz val="9"/>
      <x:color rgb="FF1D2A35"/>
      <x:name val="Carlito"/>
    </x:font>
    <x:font>
      <x:b/>
      <x:sz val="9"/>
      <x:color rgb="FFFFFFFF"/>
      <x:name val="Carlito"/>
    </x:font>
    <x:font>
      <x:sz val="9"/>
      <x:color rgb="FF1B5E8A"/>
      <x:name val="Carlito"/>
    </x:font>
    <x:font>
      <x:b/>
      <x:sz val="11"/>
      <x:color rgb="FF1D2A35"/>
      <x:name val="Carlito"/>
    </x:font>
    <x:font>
      <x:b/>
      <x:sz val="9"/>
      <x:color rgb="FF2D6A4F"/>
      <x:name val="Carlito"/>
    </x:font>
  </x:fonts>
  <x:fills count="9">
    <x:fill>
      <x:patternFill patternType="none"/>
    </x:fill>
    <x:fill>
      <x:patternFill patternType="gray125"/>
    </x:fill>
    <x:fill>
      <x:patternFill patternType="solid">
        <x:fgColor rgb="FF173B5B"/>
      </x:patternFill>
    </x:fill>
    <x:fill>
      <x:patternFill patternType="solid">
        <x:fgColor rgb="FFEAF3F7"/>
      </x:patternFill>
    </x:fill>
    <x:fill>
      <x:patternFill patternType="solid">
        <x:fgColor rgb="FF2D6A4F"/>
      </x:patternFill>
    </x:fill>
    <x:fill>
      <x:patternFill patternType="solid">
        <x:fgColor rgb="FFFFF4D6"/>
      </x:patternFill>
    </x:fill>
    <x:fill>
      <x:patternFill patternType="solid">
        <x:fgColor rgb="FFE8F5E9"/>
      </x:patternFill>
    </x:fill>
    <x:fill>
      <x:patternFill patternType="solid">
        <x:fgColor rgb="FF173B5B"/>
      </x:patternFill>
    </x:fill>
    <x:fill>
      <x:patternFill patternType="solid">
        <x:fgColor rgb="FFEAF3F7"/>
      </x:patternFill>
    </x:fill>
  </x:fills>
  <x:borders count="1">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4" fillId="3"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2" fillId="5" borderId="0" xfId="0" applyNumberFormat="1" applyFont="1" applyFill="1" applyBorder="1"/>
    <x:xf numFmtId="0" fontId="0" fillId="5" borderId="0" xfId="0" applyNumberFormat="1" applyFont="1" applyFill="1" applyBorder="1" applyAlignment="1">
      <x:alignment wrapText="1"/>
    </x:xf>
    <x:xf numFmtId="0" fontId="4" fillId="6" borderId="0"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vertical="center"/>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8" xfId="0" applyNumberFormat="1" applyFont="1" applyFill="1" applyBorder="0" applyAlignment="1">
      <x:alignment wrapText="1"/>
    </x:xf>
    <x:xf numFmtId="0" fontId="0" fillId="0" xfId="0" applyNumberFormat="1" applyFont="1" applyFill="1" applyBorder="0"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de40303a244c35" /><Relationship Type="http://schemas.openxmlformats.org/officeDocument/2006/relationships/theme" Target="/xl/theme/theme1.xml" Id="R4c5ce893f6254abf" /><Relationship Type="http://schemas.microsoft.com/office/2022/11/relationships/FeaturePropertyBag" Target="/xl/featurePropertyBag/featurePropertyBag.xml" Id="R376e0f6c1d8a40ea" /><Relationship Type="http://schemas.openxmlformats.org/officeDocument/2006/relationships/sharedStrings" Target="/xl/sharedStrings.xml" Id="R048c6340faab42fc" /><Relationship Type="http://schemas.openxmlformats.org/officeDocument/2006/relationships/worksheet" Target="/xl/worksheets/sheet1.xml" Id="Rd3d8394c565b48fc" /><Relationship Type="http://schemas.openxmlformats.org/officeDocument/2006/relationships/worksheet" Target="/xl/worksheets/sheet2.xml" Id="R6ec50e5e29d14308" /><Relationship Type="http://schemas.openxmlformats.org/officeDocument/2006/relationships/worksheet" Target="/xl/worksheets/sheet3.xml" Id="Rc05ae9db06cf40de" /><Relationship Type="http://schemas.openxmlformats.org/officeDocument/2006/relationships/worksheet" Target="/xl/worksheets/sheet4.xml" Id="Re2de30e422ac491f" /><Relationship Type="http://schemas.openxmlformats.org/officeDocument/2006/relationships/worksheet" Target="/xl/worksheets/sheet5.xml" Id="Rcdf9c903a3f548fb" /><Relationship Type="http://schemas.openxmlformats.org/officeDocument/2006/relationships/worksheet" Target="/xl/worksheets/sheet6.xml" Id="Rdc8e4fe28ce545ea" /><Relationship Type="http://schemas.openxmlformats.org/officeDocument/2006/relationships/worksheet" Target="/xl/worksheets/sheet7.xml" Id="Rbcd39e71bb534216" /><Relationship Type="http://schemas.openxmlformats.org/officeDocument/2006/relationships/worksheet" Target="/xl/worksheets/sheet8.xml" Id="R25e3bca7a7264b0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ilotDevItems" displayName="PilotDevItems" ref="A3:Q39" headerRowCount="1" totalsRowCount="0" totalsRowShown="0">
  <x:tableColumns count="17">
    <x:tableColumn id="1" name="item_id"/>
    <x:tableColumn id="2" name="source_fact_id"/>
    <x:tableColumn id="3" name="knowledge_domain"/>
    <x:tableColumn id="4" name="knowledge_specificity"/>
    <x:tableColumn id="5" name="question_tr"/>
    <x:tableColumn id="6" name="gold_answer"/>
    <x:tableColumn id="7" name="accepted_answers"/>
    <x:tableColumn id="8" name="source_url"/>
    <x:tableColumn id="9" name="source_type"/>
    <x:tableColumn id="10" name="lexical_leakage"/>
    <x:tableColumn id="11" name="ambiguity_risk"/>
    <x:tableColumn id="12" name="temporal_stability"/>
    <x:tableColumn id="13" name="numeric_answer"/>
    <x:tableColumn id="14" name="dev_case_type"/>
    <x:tableColumn id="15" name="item_status"/>
    <x:tableColumn id="16" name="notes"/>
    <x:tableColumn id="17" name="source_link"/>
  </x:tableColumns>
  <x:tableStyleInfo name="TableStyleMedium2" showFirstColumn="0" showLastColumn="0" showRowStripes="1" showColumnStripes="0"/>
</x:table>
</file>

<file path=xl/tables/table2.xml><?xml version="1.0" encoding="utf-8"?>
<x:table xmlns:x="http://schemas.openxmlformats.org/spreadsheetml/2006/main" id="2" name="PilotRequests" displayName="PilotRequests" ref="A3:H75" headerRowCount="1" totalsRowCount="0" totalsRowShown="0">
  <x:tableColumns count="8">
    <x:tableColumn id="1" name="run_id"/>
    <x:tableColumn id="2" name="model_slot"/>
    <x:tableColumn id="3" name="requested_model_id"/>
    <x:tableColumn id="4" name="item_id"/>
    <x:tableColumn id="5" name="source_fact_id"/>
    <x:tableColumn id="6" name="prompt_version"/>
    <x:tableColumn id="7" name="question_tr"/>
    <x:tableColumn id="8" name="prompt"/>
  </x:tableColumns>
  <x:tableStyleInfo name="TableStyleMedium2" showFirstColumn="0" showLastColumn="0" showRowStripes="1" showColumnStripes="0"/>
</x:table>
</file>

<file path=xl/tables/table3.xml><?xml version="1.0" encoding="utf-8"?>
<x:table xmlns:x="http://schemas.openxmlformats.org/spreadsheetml/2006/main" id="3" name="PilotResponses" displayName="PilotResponses" ref="A4:V76" headerRowCount="1" totalsRowCount="0" totalsRowShown="0">
  <x:tableColumns count="22">
    <x:tableColumn id="1" name="run_id"/>
    <x:tableColumn id="2" name="model_slot"/>
    <x:tableColumn id="3" name="requested_model_id"/>
    <x:tableColumn id="4" name="returned_model_id"/>
    <x:tableColumn id="5" name="request_id"/>
    <x:tableColumn id="6" name="item_id"/>
    <x:tableColumn id="7" name="gold_answer"/>
    <x:tableColumn id="8" name="accepted_answers"/>
    <x:tableColumn id="9" name="raw_response"/>
    <x:tableColumn id="10" name="normalized_response"/>
    <x:tableColumn id="11" name="auto_label"/>
    <x:tableColumn id="12" name="manual_review"/>
    <x:tableColumn id="13" name="final_label"/>
    <x:tableColumn id="14" name="scoring_reason"/>
    <x:tableColumn id="15" name="issue_type"/>
    <x:tableColumn id="16" name="reviewer_note"/>
    <x:tableColumn id="17" name="started_at_utc"/>
    <x:tableColumn id="18" name="finished_at_utc"/>
    <x:tableColumn id="19" name="latency_ms"/>
    <x:tableColumn id="20" name="status"/>
    <x:tableColumn id="21" name="prompt_version"/>
    <x:tableColumn id="22" name="scorer_version"/>
  </x:tableColumns>
  <x:tableStyleInfo name="TableStyleMedium2" showFirstColumn="0" showLastColumn="0" showRowStripes="1" showColumnStripes="0"/>
</x:table>
</file>

<file path=xl/tables/table4.xml><?xml version="1.0" encoding="utf-8"?>
<x:table xmlns:x="http://schemas.openxmlformats.org/spreadsheetml/2006/main" id="4" name="NormalizationTests" displayName="NormalizationTests" ref="A3:F11" headerRowCount="1" totalsRowCount="0" totalsRowShown="0">
  <x:tableColumns count="6">
    <x:tableColumn id="1" name="test_id"/>
    <x:tableColumn id="2" name="raw_response"/>
    <x:tableColumn id="3" name="expected_normalized"/>
    <x:tableColumn id="4" name="accepted_answers"/>
    <x:tableColumn id="5" name="expected_label"/>
    <x:tableColumn id="6" name="purpos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c77cf60c15994d4b" /></Relationships>
</file>

<file path=xl/worksheets/_rels/sheet4.xml.rels>&#65279;<?xml version="1.0" encoding="utf-8"?><Relationships xmlns="http://schemas.openxmlformats.org/package/2006/relationships"><Relationship Type="http://schemas.openxmlformats.org/officeDocument/2006/relationships/table" Target="/xl/tables/table2.xml" Id="R0245be66cd4f40ff" /></Relationships>
</file>

<file path=xl/worksheets/_rels/sheet5.xml.rels>&#65279;<?xml version="1.0" encoding="utf-8"?><Relationships xmlns="http://schemas.openxmlformats.org/package/2006/relationships"><Relationship Type="http://schemas.openxmlformats.org/officeDocument/2006/relationships/table" Target="/xl/tables/table3.xml" Id="Rc50b4e345d35467c" /></Relationships>
</file>

<file path=xl/worksheets/_rels/sheet6.xml.rels>&#65279;<?xml version="1.0" encoding="utf-8"?><Relationships xmlns="http://schemas.openxmlformats.org/package/2006/relationships"><Relationship Type="http://schemas.openxmlformats.org/officeDocument/2006/relationships/table" Target="/xl/tables/table4.xml" Id="R2a07a4cfab5d450d"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45" hidden="0" customWidth="1"/>
    <x:col min="3" max="3" width="35" hidden="0" customWidth="1"/>
    <x:col min="4" max="4" width="12.5" hidden="0" customWidth="1"/>
    <x:col min="5" max="5" width="31.25" hidden="0" customWidth="1"/>
    <x:col min="6" max="6" width="15" hidden="0" customWidth="1"/>
  </x:cols>
  <x:sheetData>
    <x:row r="1" ht="28.5" customHeight="1">
      <x:c r="A1" s="3" t="str">
        <x:v>TurkCuisineBench — Pilot Execution Package v0.3</x:v>
      </x:c>
      <x:c r="B1" s="3" t="str">
        <x:v>TurkCuisineBench — Pilot Execution Package v0.1</x:v>
      </x:c>
      <x:c r="C1" s="3" t="str">
        <x:v>TurkCuisineBench — Pilot Execution Package v0.1</x:v>
      </x:c>
      <x:c r="D1" s="3" t="str">
        <x:v>TurkCuisineBench — Pilot Execution Package v0.1</x:v>
      </x:c>
      <x:c r="E1" s="3" t="str">
        <x:v>TurkCuisineBench — Pilot Execution Package v0.1</x:v>
      </x:c>
      <x:c r="F1" s="3" t="str">
        <x:v>TurkCuisineBench — Pilot Execution Package v0.1</x:v>
      </x:c>
    </x:row>
    <x:row r="3" ht="36" customHeight="1">
      <x:c r="A3" s="6" t="str">
        <x:v>Purpose</x:v>
      </x:c>
      <x:c r="B3" s="7" t="str">
        <x:v>Validate the Turkish prompt, response logging, normalization, scoring, abstention, and manual-review routing.</x:v>
      </x:c>
    </x:row>
    <x:row r="4" ht="36" customHeight="1">
      <x:c r="A4" s="6" t="str">
        <x:v>Design</x:v>
      </x:c>
      <x:c r="B4" s="7" t="str">
        <x:v>36 Dev items × 2 fixed model slots = 72 stateless responses.</x:v>
      </x:c>
    </x:row>
    <x:row r="5" ht="36" customHeight="1">
      <x:c r="A5" s="6" t="str">
        <x:v>Interpretation</x:v>
      </x:c>
      <x:c r="B5" s="7" t="str">
        <x:v>Method pilot only; do not report these scores as the main benchmark leaderboard.</x:v>
      </x:c>
    </x:row>
    <x:row r="6" ht="36" customHeight="1">
      <x:c r="A6" s="6" t="str">
        <x:v>Current status</x:v>
      </x:c>
      <x:c r="B6" s="7" t="str">
        <x:v>DEV FROZEN v0.2 / MODELS FIXED / API KEYS PENDING</x:v>
      </x:c>
    </x:row>
    <x:row r="7" ht="36" customHeight="1">
      <x:c r="A7" s="6" t="str">
        <x:v>Freeze gate</x:v>
      </x:c>
      <x:c r="B7" s="7" t="str">
        <x:v>Dev validation, independent adjudication, checksums, and exact model endpoints are complete. API keys are required before execution.</x:v>
      </x:c>
    </x:row>
    <x:row r="8" ht="36" customHeight="1">
      <x:c r="A8" s="6" t="str">
        <x:v>Data boundary</x:v>
      </x:c>
      <x:c r="B8" s="7" t="str">
        <x:v>Turkish questions are canonical. The English manuscript describes the method; any later English benchmark version must be a separately validated paired translation.</x:v>
      </x:c>
    </x:row>
    <x:row r="9" ht="36" customHeight="1">
      <x:c r="A9" s="6" t="str">
        <x:v>No post-hoc tuning</x:v>
      </x:c>
      <x:c r="B9" s="7" t="str">
        <x:v>Do not add accepted answers merely because they appear in model outputs.</x:v>
      </x:c>
    </x:row>
    <x:row r="10" ht="36" customHeight="1">
      <x:c r="A10" s="6" t="str">
        <x:v>Secrets</x:v>
      </x:c>
      <x:c r="B10" s="7" t="str">
        <x:v>Never store API keys in this workbook or package.</x:v>
      </x:c>
    </x:row>
    <x:row r="12">
      <x:c r="A12" s="11" t="str">
        <x:v>STEP</x:v>
      </x:c>
      <x:c r="B12" s="11" t="str">
        <x:v>ACTION</x:v>
      </x:c>
      <x:c r="C12" s="11" t="str">
        <x:v>EVIDENCE</x:v>
      </x:c>
      <x:c r="D12" s="11" t="str">
        <x:v>OWNER</x:v>
      </x:c>
      <x:c r="E12" s="11" t="str">
        <x:v>GATE</x:v>
      </x:c>
      <x:c r="F12" s="11" t="str">
        <x:v>STATUS</x:v>
      </x:c>
    </x:row>
    <x:row r="13">
      <x:c r="A13" s="14" t="n">
        <x:v>1</x:v>
      </x:c>
      <x:c r="B13" s="14" t="str">
        <x:v>Retrieve paper forms</x:v>
      </x:c>
      <x:c r="C13" s="14" t="str">
        <x:v>Two original reviewer forms archived privately</x:v>
      </x:c>
      <x:c r="D13" s="14" t="str">
        <x:v>Author</x:v>
      </x:c>
      <x:c r="E13" s="14" t="str">
        <x:v>Required before formal freeze</x:v>
      </x:c>
      <x:c r="F13" s="15" t="str">
        <x:v>complete</x:v>
      </x:c>
    </x:row>
    <x:row r="14">
      <x:c r="A14" s="14" t="n">
        <x:v>2</x:v>
      </x:c>
      <x:c r="B14" s="14" t="str">
        <x:v>Transcribe and adjudicate</x:v>
      </x:c>
      <x:c r="C14" s="14" t="str">
        <x:v>Validation workflow v0.4; 36 final actions</x:v>
      </x:c>
      <x:c r="D14" s="14" t="str">
        <x:v>Author</x:v>
      </x:c>
      <x:c r="E14" s="14" t="str">
        <x:v>36 final actions</x:v>
      </x:c>
      <x:c r="F14" s="15" t="str">
        <x:v>complete</x:v>
      </x:c>
    </x:row>
    <x:row r="15">
      <x:c r="A15" s="14" t="n">
        <x:v>3</x:v>
      </x:c>
      <x:c r="B15" s="14" t="str">
        <x:v>Freeze Dev file</x:v>
      </x:c>
      <x:c r="C15" s="14" t="str">
        <x:v>TurkCuisineBench-Dev v0.2 + SHA-256 manifest</x:v>
      </x:c>
      <x:c r="D15" s="14" t="str">
        <x:v>Author</x:v>
      </x:c>
      <x:c r="E15" s="14" t="str">
        <x:v>No later answer tuning</x:v>
      </x:c>
      <x:c r="F15" s="15" t="str">
        <x:v>complete</x:v>
      </x:c>
    </x:row>
    <x:row r="16">
      <x:c r="A16" s="14" t="n">
        <x:v>4</x:v>
      </x:c>
      <x:c r="B16" s="14" t="str">
        <x:v>Configure exact model endpoints</x:v>
      </x:c>
      <x:c r="C16" s="14" t="str">
        <x:v>Exact provider/model IDs fixed; API keys pending</x:v>
      </x:c>
      <x:c r="D16" s="14" t="str">
        <x:v>Author</x:v>
      </x:c>
      <x:c r="E16" s="14" t="str">
        <x:v>Both model slots enabled</x:v>
      </x:c>
      <x:c r="F16" s="15" t="str">
        <x:v>pending</x:v>
      </x:c>
    </x:row>
    <x:row r="17">
      <x:c r="A17" s="14" t="n">
        <x:v>5</x:v>
      </x:c>
      <x:c r="B17" s="14" t="str">
        <x:v>Run 72 independent requests</x:v>
      </x:c>
      <x:c r="C17" s="14" t="str">
        <x:v>Raw append-only JSONL</x:v>
      </x:c>
      <x:c r="D17" s="14" t="str">
        <x:v>Author</x:v>
      </x:c>
      <x:c r="E17" s="14" t="str">
        <x:v>72 successful rows</x:v>
      </x:c>
      <x:c r="F17" s="15" t="str">
        <x:v>pending</x:v>
      </x:c>
    </x:row>
    <x:row r="18">
      <x:c r="A18" s="14" t="n">
        <x:v>6</x:v>
      </x:c>
      <x:c r="B18" s="14" t="str">
        <x:v>Run deterministic scorer</x:v>
      </x:c>
      <x:c r="C18" s="14" t="str">
        <x:v>Scored CSV + test pass</x:v>
      </x:c>
      <x:c r="D18" s="14" t="str">
        <x:v>Author</x:v>
      </x:c>
      <x:c r="E18" s="14" t="str">
        <x:v>All rows labeled/routed</x:v>
      </x:c>
      <x:c r="F18" s="15" t="str">
        <x:v>pending</x:v>
      </x:c>
    </x:row>
    <x:row r="19">
      <x:c r="A19" s="14" t="n">
        <x:v>7</x:v>
      </x:c>
      <x:c r="B19" s="14" t="str">
        <x:v>Manually review unmatched outputs</x:v>
      </x:c>
      <x:c r="C19" s="14" t="str">
        <x:v>Reviewer notes in Responses</x:v>
      </x:c>
      <x:c r="D19" s="14" t="str">
        <x:v>Author</x:v>
      </x:c>
      <x:c r="E19" s="14" t="str">
        <x:v>Zero unresolved rows</x:v>
      </x:c>
      <x:c r="F19" s="15" t="str">
        <x:v>pending</x:v>
      </x:c>
    </x:row>
    <x:row r="20">
      <x:c r="A20" s="14" t="n">
        <x:v>8</x:v>
      </x:c>
      <x:c r="B20" s="14" t="str">
        <x:v>Freeze main Test protocol</x:v>
      </x:c>
      <x:c r="C20" s="14" t="str">
        <x:v>Dated protocol version</x:v>
      </x:c>
      <x:c r="D20" s="14" t="str">
        <x:v>Author</x:v>
      </x:c>
      <x:c r="E20" s="14" t="str">
        <x:v>Systematic issues resolved</x:v>
      </x:c>
      <x:c r="F20" s="15" t="str">
        <x:v>pending</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25" hidden="0" customWidth="1"/>
    <x:col min="2" max="2" width="21.25" hidden="0" customWidth="1"/>
    <x:col min="3" max="3" width="22.5" hidden="0" customWidth="1"/>
    <x:col min="4" max="4" width="23.75" hidden="0" customWidth="1"/>
    <x:col min="5" max="5" width="28.75" hidden="0" customWidth="1"/>
    <x:col min="6" max="6" width="12.5" hidden="0" customWidth="1"/>
    <x:col min="7" max="7" width="11.25" hidden="0" customWidth="1"/>
    <x:col min="8" max="8" width="32.5" hidden="0" customWidth="1"/>
  </x:cols>
  <x:sheetData>
    <x:row r="1" ht="28.5" customHeight="1">
      <x:c r="A1" s="3" t="str">
        <x:v>Fixed Model and Run Settings</x:v>
      </x:c>
      <x:c r="B1" s="3" t="str">
        <x:v>Fixed Model and Run Settings</x:v>
      </x:c>
      <x:c r="C1" s="3" t="str">
        <x:v>Fixed Model and Run Settings</x:v>
      </x:c>
      <x:c r="D1" s="3" t="str">
        <x:v>Fixed Model and Run Settings</x:v>
      </x:c>
      <x:c r="E1" s="3" t="str">
        <x:v>Fixed Model and Run Settings</x:v>
      </x:c>
      <x:c r="F1" s="3" t="str">
        <x:v>Fixed Model and Run Settings</x:v>
      </x:c>
      <x:c r="G1" s="3" t="str">
        <x:v>Fixed Model and Run Settings</x:v>
      </x:c>
      <x:c r="H1" s="3" t="str">
        <x:v>Fixed Model and Run Settings</x:v>
      </x:c>
    </x:row>
    <x:row r="3">
      <x:c r="A3" s="19" t="str">
        <x:v>model_slot</x:v>
      </x:c>
      <x:c r="B3" s="19" t="str">
        <x:v>role</x:v>
      </x:c>
      <x:c r="C3" s="19" t="str">
        <x:v>provider_type</x:v>
      </x:c>
      <x:c r="D3" s="19" t="str">
        <x:v>requested_model_id</x:v>
      </x:c>
      <x:c r="E3" s="19" t="str">
        <x:v>base_url</x:v>
      </x:c>
      <x:c r="F3" s="19" t="str">
        <x:v>temperature</x:v>
      </x:c>
      <x:c r="G3" s="19" t="str">
        <x:v>enabled</x:v>
      </x:c>
      <x:c r="H3" s="19" t="str">
        <x:v>status</x:v>
      </x:c>
    </x:row>
    <x:row r="4">
      <x:c r="A4" s="14" t="str">
        <x:v>M1</x:v>
      </x:c>
      <x:c r="B4" s="14" t="str">
        <x:v>Frontier reference</x:v>
      </x:c>
      <x:c r="C4" s="14" t="str">
        <x:v>openai_responses</x:v>
      </x:c>
      <x:c r="D4" s="14" t="str">
        <x:v>gpt-5.5-2026-04-23</x:v>
      </x:c>
      <x:c r="E4" s="14" t="str">
        <x:v>https://api.openai.com/v1</x:v>
      </x:c>
      <x:c r="F4" s="14" t="str">
        <x:v>omitted</x:v>
      </x:c>
      <x:c r="G4" s="15" t="str">
        <x:v>yes</x:v>
      </x:c>
      <x:c r="H4" s="15" t="str">
        <x:v>Ready when API key is available</x:v>
      </x:c>
    </x:row>
    <x:row r="5">
      <x:c r="A5" s="14" t="str">
        <x:v>M2</x:v>
      </x:c>
      <x:c r="B5" s="14" t="str">
        <x:v>Open-weight comparison</x:v>
      </x:c>
      <x:c r="C5" s="14" t="str">
        <x:v>openai_compatible_chat</x:v>
      </x:c>
      <x:c r="D5" s="14" t="str">
        <x:v>openai/gpt-oss-120b</x:v>
      </x:c>
      <x:c r="E5" s="14" t="str">
        <x:v>https://api.groq.com/openai/v1</x:v>
      </x:c>
      <x:c r="F5" s="14" t="str">
        <x:v>0</x:v>
      </x:c>
      <x:c r="G5" s="15" t="str">
        <x:v>no</x:v>
      </x:c>
      <x:c r="H5" s="15" t="str">
        <x:v>Exact endpoint fixed; GROQ_API_KEY pending</x:v>
      </x:c>
    </x:row>
    <x:row r="8">
      <x:c r="A8" s="11" t="str">
        <x:v>SETTING</x:v>
      </x:c>
      <x:c r="B8" s="11" t="str">
        <x:v>FIXED VALUE</x:v>
      </x:c>
    </x:row>
    <x:row r="9">
      <x:c r="A9" s="20" t="str">
        <x:v>Prompt version</x:v>
      </x:c>
      <x:c r="B9" s="14" t="str">
        <x:v>prompt_tr_v0.1</x:v>
      </x:c>
    </x:row>
    <x:row r="10">
      <x:c r="A10" s="20" t="str">
        <x:v>Scorer version</x:v>
      </x:c>
      <x:c r="B10" s="14" t="str">
        <x:v>scorer_tr_v0.1</x:v>
      </x:c>
    </x:row>
    <x:row r="11">
      <x:c r="A11" s="20" t="str">
        <x:v>Maximum output</x:v>
      </x:c>
      <x:c r="B11" s="14" t="str">
        <x:v>256 tokens</x:v>
      </x:c>
    </x:row>
    <x:row r="12">
      <x:c r="A12" s="20" t="str">
        <x:v>Requests</x:v>
      </x:c>
      <x:c r="B12" s="14" t="str">
        <x:v>One item per stateless request</x:v>
      </x:c>
    </x:row>
    <x:row r="13">
      <x:c r="A13" s="20" t="str">
        <x:v>Tools / web / RAG</x:v>
      </x:c>
      <x:c r="B13" s="14" t="str">
        <x:v>Off</x:v>
      </x:c>
    </x:row>
    <x:row r="14">
      <x:c r="A14" s="20" t="str">
        <x:v>Conversation history</x:v>
      </x:c>
      <x:c r="B14" s="14" t="str">
        <x:v>None</x:v>
      </x:c>
    </x:row>
    <x:row r="15">
      <x:c r="A15" s="20" t="str">
        <x:v>Store</x:v>
      </x:c>
      <x:c r="B15" s="14" t="str">
        <x:v>False</x:v>
      </x:c>
    </x:row>
    <x:row r="16">
      <x:c r="A16" s="20" t="str">
        <x:v>Replicates</x:v>
      </x:c>
      <x:c r="B16" s="14" t="str">
        <x:v>One per model-item pair</x:v>
      </x:c>
    </x:row>
    <x:row r="17">
      <x:c r="A17" s="20" t="str">
        <x:v>Order</x:v>
      </x:c>
      <x:c r="B17" s="14" t="str">
        <x:v>M1 D001–D036, then M2 D001–D036</x:v>
      </x:c>
    </x:row>
    <x:row r="18">
      <x:c r="A18" s="20" t="str">
        <x:v>Reasoning effort</x:v>
      </x:c>
      <x:c r="B18" s="14" t="str">
        <x:v>low (both models)</x:v>
      </x:c>
    </x:row>
    <x:row r="19">
      <x:c r="A19" t="str">
        <x:v>Secrets</x:v>
      </x:c>
      <x:c r="B19" t="str">
        <x:v>Environment variables only</x:v>
      </x:c>
    </x:row>
  </x:sheetData>
  <x:mergeCells>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8.5" hidden="0" customWidth="1"/>
    <x:col min="2" max="2" width="9.380000114440918" hidden="0" customWidth="1"/>
    <x:col min="3" max="3" width="25.6299991607666" hidden="0" customWidth="1"/>
    <x:col min="4" max="4" width="14.380000114440918" hidden="0" customWidth="1"/>
    <x:col min="5" max="5" width="38.75" hidden="0" customWidth="1"/>
    <x:col min="6" max="6" width="17.5" hidden="0" customWidth="1"/>
    <x:col min="7" max="7" width="33.75" hidden="0" customWidth="1"/>
    <x:col min="8" max="8" width="8.75" hidden="0" customWidth="1"/>
    <x:col min="9" max="9" width="18.75" hidden="0" customWidth="1"/>
    <x:col min="10" max="10" width="8.75" hidden="0" customWidth="1"/>
    <x:col min="11" max="11" width="10.630000114440918" hidden="0" customWidth="1"/>
    <x:col min="12" max="12" width="11.25" hidden="0" customWidth="1"/>
    <x:col min="13" max="13" width="9.380000114440918" hidden="0" customWidth="1"/>
    <x:col min="14" max="14" width="16.25" hidden="0" customWidth="1"/>
    <x:col min="15" max="15" width="13.75" hidden="0" customWidth="1"/>
    <x:col min="16" max="16" width="32.5" hidden="0" customWidth="1"/>
    <x:col min="17" max="17" width="11.880000114440918" hidden="0" customWidth="1"/>
  </x:cols>
  <x:sheetData>
    <x:row r="1" ht="28.5" customHeight="1">
      <x:c r="A1" s="3" t="str">
        <x:v>Frozen Dev Register — TurkCuisineBench-Dev v0.2</x:v>
      </x:c>
      <x:c r="B1" s="3" t="str">
        <x:v>Frozen Candidate Register — Awaiting Paper-Form Archive</x:v>
      </x:c>
      <x:c r="C1" s="3" t="str">
        <x:v>Frozen Candidate Register — Awaiting Paper-Form Archive</x:v>
      </x:c>
      <x:c r="D1" s="3" t="str">
        <x:v>Frozen Candidate Register — Awaiting Paper-Form Archive</x:v>
      </x:c>
      <x:c r="E1" s="3" t="str">
        <x:v>Frozen Candidate Register — Awaiting Paper-Form Archive</x:v>
      </x:c>
      <x:c r="F1" s="3" t="str">
        <x:v>Frozen Candidate Register — Awaiting Paper-Form Archive</x:v>
      </x:c>
      <x:c r="G1" s="3" t="str">
        <x:v>Frozen Candidate Register — Awaiting Paper-Form Archive</x:v>
      </x:c>
      <x:c r="H1" s="3" t="str">
        <x:v>Frozen Candidate Register — Awaiting Paper-Form Archive</x:v>
      </x:c>
      <x:c r="I1" s="3" t="str">
        <x:v>Frozen Candidate Register — Awaiting Paper-Form Archive</x:v>
      </x:c>
      <x:c r="J1" s="3" t="str">
        <x:v>Frozen Candidate Register — Awaiting Paper-Form Archive</x:v>
      </x:c>
      <x:c r="K1" s="3" t="str">
        <x:v>Frozen Candidate Register — Awaiting Paper-Form Archive</x:v>
      </x:c>
      <x:c r="L1" s="3" t="str">
        <x:v>Frozen Candidate Register — Awaiting Paper-Form Archive</x:v>
      </x:c>
      <x:c r="M1" s="3" t="str">
        <x:v>Frozen Candidate Register — Awaiting Paper-Form Archive</x:v>
      </x:c>
      <x:c r="N1" s="3" t="str">
        <x:v>Frozen Candidate Register — Awaiting Paper-Form Archive</x:v>
      </x:c>
      <x:c r="O1" s="3" t="str">
        <x:v>Frozen Candidate Register — Awaiting Paper-Form Archive</x:v>
      </x:c>
      <x:c r="P1" s="3" t="str">
        <x:v>Frozen Candidate Register — Awaiting Paper-Form Archive</x:v>
      </x:c>
      <x:c r="Q1" s="3" t="str">
        <x:v>Frozen Candidate Register — Awaiting Paper-Form Archive</x:v>
      </x:c>
    </x:row>
    <x:row r="3">
      <x:c r="A3" s="19" t="str">
        <x:v>item_id</x:v>
      </x:c>
      <x:c r="B3" s="19" t="str">
        <x:v>source_fact_id</x:v>
      </x:c>
      <x:c r="C3" s="19" t="str">
        <x:v>knowledge_domain</x:v>
      </x:c>
      <x:c r="D3" s="19" t="str">
        <x:v>knowledge_specificity</x:v>
      </x:c>
      <x:c r="E3" s="19" t="str">
        <x:v>question_tr</x:v>
      </x:c>
      <x:c r="F3" s="19" t="str">
        <x:v>gold_answer</x:v>
      </x:c>
      <x:c r="G3" s="19" t="str">
        <x:v>accepted_answers</x:v>
      </x:c>
      <x:c r="H3" s="19" t="str">
        <x:v>source_url</x:v>
      </x:c>
      <x:c r="I3" s="19" t="str">
        <x:v>source_type</x:v>
      </x:c>
      <x:c r="J3" s="19" t="str">
        <x:v>lexical_leakage</x:v>
      </x:c>
      <x:c r="K3" s="19" t="str">
        <x:v>ambiguity_risk</x:v>
      </x:c>
      <x:c r="L3" s="19" t="str">
        <x:v>temporal_stability</x:v>
      </x:c>
      <x:c r="M3" s="19" t="str">
        <x:v>numeric_answer</x:v>
      </x:c>
      <x:c r="N3" s="19" t="str">
        <x:v>dev_case_type</x:v>
      </x:c>
      <x:c r="O3" s="19" t="str">
        <x:v>item_status</x:v>
      </x:c>
      <x:c r="P3" s="19" t="str">
        <x:v>notes</x:v>
      </x:c>
      <x:c r="Q3" s="19" t="str">
        <x:v>source_link</x:v>
      </x:c>
    </x:row>
    <x:row r="4">
      <x:c r="A4" s="14" t="str">
        <x:v>D001</x:v>
      </x:c>
      <x:c r="B4" s="14" t="str">
        <x:v>F014</x:v>
      </x:c>
      <x:c r="C4" s="14" t="str">
        <x:v>K3 — Preparation &amp; Cooking Techniques</x:v>
      </x:c>
      <x:c r="D4" s="14" t="str">
        <x:v>Technical</x:v>
      </x:c>
      <x:c r="E4" s="14" t="str">
        <x:v>Adana Kebabı için et geleneksel olarak hangi araçla kıyılır?</x:v>
      </x:c>
      <x:c r="F4" s="14" t="str">
        <x:v>Zırh</x:v>
      </x:c>
      <x:c r="G4" s="14" t="str">
        <x:v>zırh</x:v>
      </x:c>
      <x:c r="H4" s="14" t="str">
        <x:v>https://ci.turkpatent.gov.tr/Files/GeographicalSigns/493a7cc8-b7da-4f95-bf8c-f82617bc990a.pdf</x:v>
      </x:c>
      <x:c r="I4" s="14" t="str">
        <x:v>TÜRKPATENT tescil belgesi</x:v>
      </x:c>
      <x:c r="J4" s="14" t="str">
        <x:v>L0</x:v>
      </x:c>
      <x:c r="K4" s="14" t="str">
        <x:v>low</x:v>
      </x:c>
      <x:c r="L4" s="14" t="str">
        <x:v>high</x:v>
      </x:c>
      <x:c r="M4" s="24" t="b">
        <x:v>0</x:v>
      </x:c>
      <x:c r="N4" s="14" t="str">
        <x:v>clear_single_word</x:v>
      </x:c>
      <x:c r="O4" s="33" t="str">
        <x:v>frozen_dev_v0.2</x:v>
      </x:c>
      <x:c r="P4" s="14" t="str">
        <x:v>Kaynakta açıkça tanımlı araç adı. | FREEZE v0.2: Accepted after complete, concordant double review.</x:v>
      </x:c>
      <x:c r="Q4" s="25" t="e">
        <x:f>HYPERLINK(H4,"Open source")</x:f>
        <x:v>HYPERLINK is not implemented. linkLocation=https://ci.turkpatent.gov.tr/Files/GeographicalSigns/493a7cc8-b7da-4f95-bf8c-f82617bc990a.pdf, friendlyName=Open source</x:v>
      </x:c>
    </x:row>
    <x:row r="5">
      <x:c r="A5" s="14" t="str">
        <x:v>D002</x:v>
      </x:c>
      <x:c r="B5" s="14" t="str">
        <x:v>F017</x:v>
      </x:c>
      <x:c r="C5" s="14" t="str">
        <x:v>K3 — Preparation &amp; Cooking Techniques</x:v>
      </x:c>
      <x:c r="D5" s="14" t="str">
        <x:v>Local/Technical</x:v>
      </x:c>
      <x:c r="E5" s="14" t="str">
        <x:v>Maraş Tarhanasının kurutulmak üzere serildiği geleneksel hasır örtüye ne ad verilir?</x:v>
      </x:c>
      <x:c r="F5" s="14" t="str">
        <x:v>Çığ</x:v>
      </x:c>
      <x:c r="G5" s="14" t="str">
        <x:v>çığ</x:v>
      </x:c>
      <x:c r="H5" s="14" t="str">
        <x:v>https://ci.turkpatent.gov.tr/Files/GeographicalSigns/8c3d053b-bb27-4305-a46f-398c181d189e.pdf</x:v>
      </x:c>
      <x:c r="I5" s="14" t="str">
        <x:v>TÜRKPATENT tescil belgesi</x:v>
      </x:c>
      <x:c r="J5" s="14" t="str">
        <x:v>L0</x:v>
      </x:c>
      <x:c r="K5" s="14" t="str">
        <x:v>low</x:v>
      </x:c>
      <x:c r="L5" s="14" t="str">
        <x:v>high</x:v>
      </x:c>
      <x:c r="M5" s="24" t="b">
        <x:v>0</x:v>
      </x:c>
      <x:c r="N5" s="14" t="str">
        <x:v>clear_single_word</x:v>
      </x:c>
      <x:c r="O5" s="33" t="str">
        <x:v>frozen_dev_v0.2</x:v>
      </x:c>
      <x:c r="P5" s="14" t="str">
        <x:v>Yerel üretim terminolojisi. | FREEZE v0.2: Clarity revision based on independent adjudicator note; 'hasır' retained to preserve the official source meaning.</x:v>
      </x:c>
      <x:c r="Q5" s="25" t="e">
        <x:f>HYPERLINK(H5,"Open source")</x:f>
        <x:v>HYPERLINK is not implemented. linkLocation=https://ci.turkpatent.gov.tr/Files/GeographicalSigns/8c3d053b-bb27-4305-a46f-398c181d189e.pdf, friendlyName=Open source</x:v>
      </x:c>
    </x:row>
    <x:row r="6">
      <x:c r="A6" s="14" t="str">
        <x:v>D003</x:v>
      </x:c>
      <x:c r="B6" s="14" t="str">
        <x:v>F019</x:v>
      </x:c>
      <x:c r="C6" s="14" t="str">
        <x:v>K3 — Preparation &amp; Cooking Techniques</x:v>
      </x:c>
      <x:c r="D6" s="14" t="str">
        <x:v>General</x:v>
      </x:c>
      <x:c r="E6" s="14" t="str">
        <x:v>UNESCO tanımına göre Türk kahvesi hazırlanırken öğütülmüş kahveye başlangıçta hangi sıcaklıktaki su eklenir?</x:v>
      </x:c>
      <x:c r="F6" s="14" t="str">
        <x:v>Soğuk</x:v>
      </x:c>
      <x:c r="G6" s="14" t="str">
        <x:v>soğuk | soğuk su</x:v>
      </x:c>
      <x:c r="H6" s="14" t="str">
        <x:v>https://ich.unesco.org/en/RL/turkish-coffee-culture-and-tradition-00645</x:v>
      </x:c>
      <x:c r="I6" s="14" t="str">
        <x:v>UNESCO ICH kaydı</x:v>
      </x:c>
      <x:c r="J6" s="14" t="str">
        <x:v>L0</x:v>
      </x:c>
      <x:c r="K6" s="14" t="str">
        <x:v>low</x:v>
      </x:c>
      <x:c r="L6" s="14" t="str">
        <x:v>high</x:v>
      </x:c>
      <x:c r="M6" s="24" t="b">
        <x:v>0</x:v>
      </x:c>
      <x:c r="N6" s="14" t="str">
        <x:v>clear_single_word</x:v>
      </x:c>
      <x:c r="O6" s="33" t="str">
        <x:v>frozen_dev_v0.2</x:v>
      </x:c>
      <x:c r="P6" s="14" t="str">
        <x:v>Gold tek kelime; 'soğuk su' da kabul edilir. | FREEZE v0.2: Accepted after complete, concordant double review.</x:v>
      </x:c>
      <x:c r="Q6" s="25" t="e">
        <x:f>HYPERLINK(H6,"Open source")</x:f>
        <x:v>HYPERLINK is not implemented. linkLocation=https://ich.unesco.org/en/RL/turkish-coffee-culture-and-tradition-00645, friendlyName=Open source</x:v>
      </x:c>
    </x:row>
    <x:row r="7">
      <x:c r="A7" s="14" t="str">
        <x:v>D004</x:v>
      </x:c>
      <x:c r="B7" s="14" t="str">
        <x:v>F028</x:v>
      </x:c>
      <x:c r="C7" s="14" t="str">
        <x:v>K5 — Culinary Terminology &amp; Traditional Practices</x:v>
      </x:c>
      <x:c r="D7" s="14" t="str">
        <x:v>General/Heritage</x:v>
      </x:c>
      <x:c r="E7" s="14" t="str">
        <x:v>UNESCO'ya göre Türk kahvesine geleneksel olarak hangi içecek eşlik eder?</x:v>
      </x:c>
      <x:c r="F7" s="14" t="str">
        <x:v>Su</x:v>
      </x:c>
      <x:c r="G7" s="14" t="str">
        <x:v>su | bir bardak su</x:v>
      </x:c>
      <x:c r="H7" s="14" t="str">
        <x:v>https://ich.unesco.org/en/RL/turkish-coffee-culture-and-tradition-00645</x:v>
      </x:c>
      <x:c r="I7" s="14" t="str">
        <x:v>UNESCO ICH kaydı</x:v>
      </x:c>
      <x:c r="J7" s="14" t="str">
        <x:v>L0</x:v>
      </x:c>
      <x:c r="K7" s="14" t="str">
        <x:v>low</x:v>
      </x:c>
      <x:c r="L7" s="14" t="str">
        <x:v>high</x:v>
      </x:c>
      <x:c r="M7" s="24" t="b">
        <x:v>0</x:v>
      </x:c>
      <x:c r="N7" s="14" t="str">
        <x:v>clear_single_word</x:v>
      </x:c>
      <x:c r="O7" s="33" t="str">
        <x:v>frozen_dev_v0.2</x:v>
      </x:c>
      <x:c r="P7" s="14" t="str">
        <x:v>Kaynak bir bardak suyu belirtir. | FREEZE v0.2: Accepted after complete, concordant double review.</x:v>
      </x:c>
      <x:c r="Q7" s="25" t="e">
        <x:f>HYPERLINK(H7,"Open source")</x:f>
        <x:v>HYPERLINK is not implemented. linkLocation=https://ich.unesco.org/en/RL/turkish-coffee-culture-and-tradition-00645, friendlyName=Open source</x:v>
      </x:c>
    </x:row>
    <x:row r="8">
      <x:c r="A8" s="14" t="str">
        <x:v>D005</x:v>
      </x:c>
      <x:c r="B8" s="14" t="str">
        <x:v>F056</x:v>
      </x:c>
      <x:c r="C8" s="14" t="str">
        <x:v>K2 — Ingredients &amp; Composition</x:v>
      </x:c>
      <x:c r="D8" s="14" t="str">
        <x:v>Regional</x:v>
      </x:c>
      <x:c r="E8" s="14" t="str">
        <x:v>Antalya Piyazını diğer piyazlardan ayıran karakteristik sos nedir?</x:v>
      </x:c>
      <x:c r="F8" s="14" t="str">
        <x:v>Tarator</x:v>
      </x:c>
      <x:c r="G8" s="14" t="str">
        <x:v>tarator | tarator sosu</x:v>
      </x:c>
      <x:c r="H8" s="14" t="str">
        <x:v>https://ci.turkpatent.gov.tr/Files/GeographicalSigns/315.pdf</x:v>
      </x:c>
      <x:c r="I8" s="14" t="str">
        <x:v>TÜRKPATENT tescil belgesi</x:v>
      </x:c>
      <x:c r="J8" s="14" t="str">
        <x:v>L0</x:v>
      </x:c>
      <x:c r="K8" s="14" t="str">
        <x:v>low</x:v>
      </x:c>
      <x:c r="L8" s="14" t="str">
        <x:v>high</x:v>
      </x:c>
      <x:c r="M8" s="24" t="b">
        <x:v>0</x:v>
      </x:c>
      <x:c r="N8" s="14" t="str">
        <x:v>clear_single_word</x:v>
      </x:c>
      <x:c r="O8" s="33" t="str">
        <x:v>frozen_dev_v0.2</x:v>
      </x:c>
      <x:c r="P8" s="14" t="str">
        <x:v>Ayırt edici sos. | FREEZE v0.2: Accepted after complete, concordant double review.</x:v>
      </x:c>
      <x:c r="Q8" s="25" t="e">
        <x:f>HYPERLINK(H8,"Open source")</x:f>
        <x:v>HYPERLINK is not implemented. linkLocation=https://ci.turkpatent.gov.tr/Files/GeographicalSigns/315.pdf, friendlyName=Open source</x:v>
      </x:c>
    </x:row>
    <x:row r="9">
      <x:c r="A9" s="14" t="str">
        <x:v>D006</x:v>
      </x:c>
      <x:c r="B9" s="14" t="str">
        <x:v>F060</x:v>
      </x:c>
      <x:c r="C9" s="14" t="str">
        <x:v>K3 — Preparation &amp; Cooking Techniques</x:v>
      </x:c>
      <x:c r="D9" s="14" t="str">
        <x:v>Local/Technical</x:v>
      </x:c>
      <x:c r="E9" s="14" t="str">
        <x:v>Tarsus Humusunda pişmiş nohut geleneksel olarak hangi araçla ezilir?</x:v>
      </x:c>
      <x:c r="F9" s="14" t="str">
        <x:v>Tokmak</x:v>
      </x:c>
      <x:c r="G9" s="14" t="str">
        <x:v>tokmak</x:v>
      </x:c>
      <x:c r="H9" s="14" t="str">
        <x:v>https://ci.turkpatent.gov.tr/Files/GeographicalSigns/226.pdf</x:v>
      </x:c>
      <x:c r="I9" s="14" t="str">
        <x:v>TÜRKPATENT tescil belgesi</x:v>
      </x:c>
      <x:c r="J9" s="14" t="str">
        <x:v>L0</x:v>
      </x:c>
      <x:c r="K9" s="14" t="str">
        <x:v>low</x:v>
      </x:c>
      <x:c r="L9" s="14" t="str">
        <x:v>high</x:v>
      </x:c>
      <x:c r="M9" s="24" t="b">
        <x:v>0</x:v>
      </x:c>
      <x:c r="N9" s="14" t="str">
        <x:v>clear_single_word</x:v>
      </x:c>
      <x:c r="O9" s="33" t="str">
        <x:v>frozen_dev_v0.2</x:v>
      </x:c>
      <x:c r="P9" s="14" t="str">
        <x:v>Geleneksel araç bilgisi. | FREEZE v0.2: Accepted after complete, concordant double review.</x:v>
      </x:c>
      <x:c r="Q9" s="25" t="e">
        <x:f>HYPERLINK(H9,"Open source")</x:f>
        <x:v>HYPERLINK is not implemented. linkLocation=https://ci.turkpatent.gov.tr/Files/GeographicalSigns/226.pdf, friendlyName=Open source</x:v>
      </x:c>
    </x:row>
    <x:row r="10">
      <x:c r="A10" s="14" t="str">
        <x:v>D007</x:v>
      </x:c>
      <x:c r="B10" s="14" t="str">
        <x:v>F065</x:v>
      </x:c>
      <x:c r="C10" s="14" t="str">
        <x:v>K2 — Ingredients &amp; Composition</x:v>
      </x:c>
      <x:c r="D10" s="14" t="str">
        <x:v>Local</x:v>
      </x:c>
      <x:c r="E10" s="14" t="str">
        <x:v>Erzincan Kesme Kadayıfında yufka katlarının arasına hangi kuruyemiş konur?</x:v>
      </x:c>
      <x:c r="F10" s="14" t="str">
        <x:v>Ceviz</x:v>
      </x:c>
      <x:c r="G10" s="14" t="str">
        <x:v>ceviz | ceviz içi</x:v>
      </x:c>
      <x:c r="H10" s="14" t="str">
        <x:v>https://ci.turkpatent.gov.tr/Files/GeographicalSigns/5212ffda-73e7-4b2a-955b-49d1d24c8dd8.pdf</x:v>
      </x:c>
      <x:c r="I10" s="14" t="str">
        <x:v>TÜRKPATENT tescil belgesi</x:v>
      </x:c>
      <x:c r="J10" s="14" t="str">
        <x:v>L0</x:v>
      </x:c>
      <x:c r="K10" s="14" t="str">
        <x:v>low</x:v>
      </x:c>
      <x:c r="L10" s="14" t="str">
        <x:v>high</x:v>
      </x:c>
      <x:c r="M10" s="24" t="b">
        <x:v>0</x:v>
      </x:c>
      <x:c r="N10" s="14" t="str">
        <x:v>clear_single_word</x:v>
      </x:c>
      <x:c r="O10" s="33" t="str">
        <x:v>frozen_dev_v0.2</x:v>
      </x:c>
      <x:c r="P10" s="14" t="str">
        <x:v>İç malzeme. | FREEZE v0.2: Accepted after complete, concordant double review.</x:v>
      </x:c>
      <x:c r="Q10" s="25" t="e">
        <x:f>HYPERLINK(H10,"Open source")</x:f>
        <x:v>HYPERLINK is not implemented. linkLocation=https://ci.turkpatent.gov.tr/Files/GeographicalSigns/5212ffda-73e7-4b2a-955b-49d1d24c8dd8.pdf, friendlyName=Open source</x:v>
      </x:c>
    </x:row>
    <x:row r="11">
      <x:c r="A11" s="14" t="str">
        <x:v>D008</x:v>
      </x:c>
      <x:c r="B11" s="14" t="str">
        <x:v>F068</x:v>
      </x:c>
      <x:c r="C11" s="14" t="str">
        <x:v>K2 — Ingredients &amp; Composition</x:v>
      </x:c>
      <x:c r="D11" s="14" t="str">
        <x:v>Local</x:v>
      </x:c>
      <x:c r="E11" s="14" t="str">
        <x:v>Diyarbakır Kaburga Dolmasının pirinçli iç harcında hangi kuruyemiş kullanılır?</x:v>
      </x:c>
      <x:c r="F11" s="14" t="str">
        <x:v>Badem</x:v>
      </x:c>
      <x:c r="G11" s="14" t="str">
        <x:v>badem | badem içi</x:v>
      </x:c>
      <x:c r="H11" s="14" t="str">
        <x:v>https://ci.turkpatent.gov.tr/Files/GeographicalSigns/ffe64b55-cc1a-4e1f-90ff-1f9a90128a25.pdf</x:v>
      </x:c>
      <x:c r="I11" s="14" t="str">
        <x:v>TÜRKPATENT tescil belgesi</x:v>
      </x:c>
      <x:c r="J11" s="14" t="str">
        <x:v>L0</x:v>
      </x:c>
      <x:c r="K11" s="14" t="str">
        <x:v>low</x:v>
      </x:c>
      <x:c r="L11" s="14" t="str">
        <x:v>high</x:v>
      </x:c>
      <x:c r="M11" s="24" t="b">
        <x:v>0</x:v>
      </x:c>
      <x:c r="N11" s="14" t="str">
        <x:v>clear_single_word</x:v>
      </x:c>
      <x:c r="O11" s="33" t="str">
        <x:v>frozen_dev_v0.2</x:v>
      </x:c>
      <x:c r="P11" s="14" t="str">
        <x:v>İç harç bileşeni. | FREEZE v0.2: Accepted after complete, concordant double review.</x:v>
      </x:c>
      <x:c r="Q11" s="25" t="e">
        <x:f>HYPERLINK(H11,"Open source")</x:f>
        <x:v>HYPERLINK is not implemented. linkLocation=https://ci.turkpatent.gov.tr/Files/GeographicalSigns/ffe64b55-cc1a-4e1f-90ff-1f9a90128a25.pdf, friendlyName=Open source</x:v>
      </x:c>
    </x:row>
    <x:row r="12">
      <x:c r="A12" s="14" t="str">
        <x:v>D009</x:v>
      </x:c>
      <x:c r="B12" s="14" t="str">
        <x:v>F009</x:v>
      </x:c>
      <x:c r="C12" s="14" t="str">
        <x:v>K2 — Ingredients &amp; Composition</x:v>
      </x:c>
      <x:c r="D12" s="14" t="str">
        <x:v>Regional</x:v>
      </x:c>
      <x:c r="E12" s="14" t="str">
        <x:v>Maraş Tarhanasının iki temel bileşeni nedir?</x:v>
      </x:c>
      <x:c r="F12" s="14" t="str">
        <x:v>Yoğurt ve dövme</x:v>
      </x:c>
      <x:c r="G12" s="14" t="str">
        <x:v>yoğurt ve dövme | yoğurt ve buğday yarması | yoğurt ile dövme | yoğurt ile buğday yarması</x:v>
      </x:c>
      <x:c r="H12" s="14" t="str">
        <x:v>https://ci.turkpatent.gov.tr/Files/GeographicalSigns/8c3d053b-bb27-4305-a46f-398c181d189e.pdf</x:v>
      </x:c>
      <x:c r="I12" s="14" t="str">
        <x:v>TÜRKPATENT tescil belgesi</x:v>
      </x:c>
      <x:c r="J12" s="14" t="str">
        <x:v>L0</x:v>
      </x:c>
      <x:c r="K12" s="14" t="str">
        <x:v>medium</x:v>
      </x:c>
      <x:c r="L12" s="14" t="str">
        <x:v>high</x:v>
      </x:c>
      <x:c r="M12" s="24" t="b">
        <x:v>0</x:v>
      </x:c>
      <x:c r="N12" s="14" t="str">
        <x:v>multi_word_accepted</x:v>
      </x:c>
      <x:c r="O12" s="33" t="str">
        <x:v>frozen_dev_v0.2</x:v>
      </x:c>
      <x:c r="P12" s="14" t="str">
        <x:v>RESOLVED DURING VALIDATION: İki bileşenin de zorunlu olduğu scoring kuralı onaylanmalı. | FREEZE v0.2: Accepted after complete, concordant double review.</x:v>
      </x:c>
      <x:c r="Q12" s="25" t="e">
        <x:f>HYPERLINK(H12,"Open source")</x:f>
        <x:v>HYPERLINK is not implemented. linkLocation=https://ci.turkpatent.gov.tr/Files/GeographicalSigns/8c3d053b-bb27-4305-a46f-398c181d189e.pdf, friendlyName=Open source</x:v>
      </x:c>
    </x:row>
    <x:row r="13">
      <x:c r="A13" s="14" t="str">
        <x:v>D010</x:v>
      </x:c>
      <x:c r="B13" s="14" t="str">
        <x:v>F031</x:v>
      </x:c>
      <x:c r="C13" s="14" t="str">
        <x:v>K5 — Culinary Terminology &amp; Traditional Practices</x:v>
      </x:c>
      <x:c r="D13" s="14" t="str">
        <x:v>General/Heritage</x:v>
      </x:c>
      <x:c r="E13" s="14" t="str">
        <x:v>UNESCO tanımına göre çay geleneksel olarak hangi biçimdeki bardaklarda servis edilir?</x:v>
      </x:c>
      <x:c r="F13" s="14" t="str">
        <x:v>Armut biçimli bardak</x:v>
      </x:c>
      <x:c r="G13" s="14" t="str">
        <x:v>armut biçimli bardak | armut şeklinde bardak | armut biçimli bardaklar | armut şeklinde bardaklar</x:v>
      </x:c>
      <x:c r="H13" s="14" t="str">
        <x:v>https://ich.unesco.org/en/RL/culture-of-cay-tea-a-symbol-of-identity-hospitality-and-social-interaction-01685</x:v>
      </x:c>
      <x:c r="I13" s="14" t="str">
        <x:v>UNESCO ICH kaydı</x:v>
      </x:c>
      <x:c r="J13" s="14" t="str">
        <x:v>L0</x:v>
      </x:c>
      <x:c r="K13" s="14" t="str">
        <x:v>medium</x:v>
      </x:c>
      <x:c r="L13" s="14" t="str">
        <x:v>high</x:v>
      </x:c>
      <x:c r="M13" s="24" t="b">
        <x:v>0</x:v>
      </x:c>
      <x:c r="N13" s="14" t="str">
        <x:v>multi_word_accepted</x:v>
      </x:c>
      <x:c r="O13" s="33" t="str">
        <x:v>frozen_dev_v0.2</x:v>
      </x:c>
      <x:c r="P13" s="14" t="str">
        <x:v>RESOLVED DURING VALIDATION: 'İnce belli bardak' kabul listesine eklenmeli mi doğrulanmalı. | FREEZE v0.2: Accepted after complete, concordant double review.</x:v>
      </x:c>
      <x:c r="Q13" s="25" t="e">
        <x:f>HYPERLINK(H13,"Open source")</x:f>
        <x:v>HYPERLINK is not implemented. linkLocation=https://ich.unesco.org/en/RL/culture-of-cay-tea-a-symbol-of-identity-hospitality-and-social-interaction-01685, friendlyName=Open source</x:v>
      </x:c>
    </x:row>
    <x:row r="14">
      <x:c r="A14" s="14" t="str">
        <x:v>D011</x:v>
      </x:c>
      <x:c r="B14" s="14" t="str">
        <x:v>F083</x:v>
      </x:c>
      <x:c r="C14" s="14" t="str">
        <x:v>K5 — Culinary Terminology &amp; Traditional Practices</x:v>
      </x:c>
      <x:c r="D14" s="14" t="str">
        <x:v>Regional/Heritage</x:v>
      </x:c>
      <x:c r="E14" s="14" t="str">
        <x:v>UNESCO kaydına göre Türkiye'de düğünlerde yassı ekmek kimlere verilir?</x:v>
      </x:c>
      <x:c r="F14" s="14" t="str">
        <x:v>Çiftin komşularına</x:v>
      </x:c>
      <x:c r="G14" s="14" t="str">
        <x:v>çiftin komşularına | yeni evli çiftin komşularına | komşulara</x:v>
      </x:c>
      <x:c r="H14" s="14" t="str">
        <x:v>https://ich.unesco.org/en/RL/flatbread-making-and-sharing-culture-lavash-katyrma-jupka-yufka-01181</x:v>
      </x:c>
      <x:c r="I14" s="14" t="str">
        <x:v>UNESCO ICH kaydı</x:v>
      </x:c>
      <x:c r="J14" s="14" t="str">
        <x:v>L0</x:v>
      </x:c>
      <x:c r="K14" s="14" t="str">
        <x:v>low</x:v>
      </x:c>
      <x:c r="L14" s="14" t="str">
        <x:v>high</x:v>
      </x:c>
      <x:c r="M14" s="24" t="b">
        <x:v>0</x:v>
      </x:c>
      <x:c r="N14" s="14" t="str">
        <x:v>multi_word_accepted</x:v>
      </x:c>
      <x:c r="O14" s="33" t="str">
        <x:v>frozen_dev_v0.2</x:v>
      </x:c>
      <x:c r="P14" s="14" t="str">
        <x:v>Türkiye'ye özgü düğün bağlamı. | FREEZE v0.2: Accepted after complete, concordant double review.</x:v>
      </x:c>
      <x:c r="Q14" s="25" t="e">
        <x:f>HYPERLINK(H14,"Open source")</x:f>
        <x:v>HYPERLINK is not implemented. linkLocation=https://ich.unesco.org/en/RL/flatbread-making-and-sharing-culture-lavash-katyrma-jupka-yufka-01181, friendlyName=Open source</x:v>
      </x:c>
    </x:row>
    <x:row r="15">
      <x:c r="A15" s="14" t="str">
        <x:v>D012</x:v>
      </x:c>
      <x:c r="B15" s="14" t="str">
        <x:v>F087</x:v>
      </x:c>
      <x:c r="C15" s="14" t="str">
        <x:v>K5 — Culinary Terminology &amp; Traditional Practices</x:v>
      </x:c>
      <x:c r="D15" s="14" t="str">
        <x:v>Local/Heritage</x:v>
      </x:c>
      <x:c r="E15" s="14" t="str">
        <x:v>Törensel Keşkek geleneğinde buğday taşınırken hangi iki çalgı çalınır?</x:v>
      </x:c>
      <x:c r="F15" s="14" t="str">
        <x:v>Davul ve zurna</x:v>
      </x:c>
      <x:c r="G15" s="14" t="str">
        <x:v>davul ve zurna | zurna ve davul</x:v>
      </x:c>
      <x:c r="H15" s="14" t="str">
        <x:v>https://ich.unesco.org/en/RL/ceremonial-keskek-tradition-00388</x:v>
      </x:c>
      <x:c r="I15" s="14" t="str">
        <x:v>UNESCO ICH kaydı</x:v>
      </x:c>
      <x:c r="J15" s="14" t="str">
        <x:v>L0</x:v>
      </x:c>
      <x:c r="K15" s="14" t="str">
        <x:v>low</x:v>
      </x:c>
      <x:c r="L15" s="14" t="str">
        <x:v>high</x:v>
      </x:c>
      <x:c r="M15" s="24" t="b">
        <x:v>0</x:v>
      </x:c>
      <x:c r="N15" s="14" t="str">
        <x:v>multi_word_accepted</x:v>
      </x:c>
      <x:c r="O15" s="33" t="str">
        <x:v>frozen_dev_v0.2</x:v>
      </x:c>
      <x:c r="P15" s="14" t="str">
        <x:v>İki çalgı da gerekli; sıra önemsiz. | FREEZE v0.2: Accepted after complete, concordant double review.</x:v>
      </x:c>
      <x:c r="Q15" s="25" t="e">
        <x:f>HYPERLINK(H15,"Open source")</x:f>
        <x:v>HYPERLINK is not implemented. linkLocation=https://ich.unesco.org/en/RL/ceremonial-keskek-tradition-00388, friendlyName=Open source</x:v>
      </x:c>
    </x:row>
    <x:row r="16">
      <x:c r="A16" s="14" t="str">
        <x:v>D013</x:v>
      </x:c>
      <x:c r="B16" s="14" t="str">
        <x:v>F100</x:v>
      </x:c>
      <x:c r="C16" s="14" t="str">
        <x:v>K6 — Culinary History, Heritage &amp; Cultural Context</x:v>
      </x:c>
      <x:c r="D16" s="14" t="str">
        <x:v>General/Heritage</x:v>
      </x:c>
      <x:c r="E16" s="14" t="str">
        <x:v>Kültür Portalına göre aşurenin temsil ettiği iki temel kavram nedir?</x:v>
      </x:c>
      <x:c r="F16" s="14" t="str">
        <x:v>Bolluk ve bereket</x:v>
      </x:c>
      <x:c r="G16" s="14" t="str">
        <x:v>bolluk ve bereket | bereket ve bolluk</x:v>
      </x:c>
      <x:c r="H16" s="14" t="str">
        <x:v>https://kulturportali.gov.tr/portal/geleneksel-lezzetler--7-ozel-gun-yemegi</x:v>
      </x:c>
      <x:c r="I16" s="14" t="str">
        <x:v>Kültür ve Turizm Bakanlığı Kültür Portalı</x:v>
      </x:c>
      <x:c r="J16" s="14" t="str">
        <x:v>L0</x:v>
      </x:c>
      <x:c r="K16" s="14" t="str">
        <x:v>low</x:v>
      </x:c>
      <x:c r="L16" s="14" t="str">
        <x:v>high</x:v>
      </x:c>
      <x:c r="M16" s="24" t="b">
        <x:v>0</x:v>
      </x:c>
      <x:c r="N16" s="14" t="str">
        <x:v>multi_word_accepted</x:v>
      </x:c>
      <x:c r="O16" s="33" t="str">
        <x:v>frozen_dev_v0.2</x:v>
      </x:c>
      <x:c r="P16" s="14" t="str">
        <x:v>İki kavram da gerekli; sıra önemsiz. | FREEZE v0.2: Accepted after complete, concordant double review.</x:v>
      </x:c>
      <x:c r="Q16" s="25" t="e">
        <x:f>HYPERLINK(H16,"Open source")</x:f>
        <x:v>HYPERLINK is not implemented. linkLocation=https://kulturportali.gov.tr/portal/geleneksel-lezzetler--7-ozel-gun-yemegi, friendlyName=Open source</x:v>
      </x:c>
    </x:row>
    <x:row r="17">
      <x:c r="A17" s="14" t="str">
        <x:v>D014</x:v>
      </x:c>
      <x:c r="B17" s="14" t="str">
        <x:v>F112</x:v>
      </x:c>
      <x:c r="C17" s="14" t="str">
        <x:v>K6 — Culinary History, Heritage &amp; Cultural Context</x:v>
      </x:c>
      <x:c r="D17" s="14" t="str">
        <x:v>Local/Heritage</x:v>
      </x:c>
      <x:c r="E17" s="14" t="str">
        <x:v>Tekirdağ'daki Herise geleneğinde düğün için hazırlanan yemekten özellikle hangi iki gruba gönderilir?</x:v>
      </x:c>
      <x:c r="F17" s="14" t="str">
        <x:v>Hasta ve yaşlılar</x:v>
      </x:c>
      <x:c r="G17" s="14" t="str">
        <x:v>hasta ve yaşlılar | yaşlı ve hastalar | hastalara ve yaşlılara | yaşlılara ve hastalara</x:v>
      </x:c>
      <x:c r="H17" s="14" t="str">
        <x:v>https://www.kulturportali.gov.tr/turkiye/tekirdag/neyenir/herise-keskek</x:v>
      </x:c>
      <x:c r="I17" s="14" t="str">
        <x:v>Kültür ve Turizm Bakanlığı Kültür Portalı</x:v>
      </x:c>
      <x:c r="J17" s="14" t="str">
        <x:v>L0</x:v>
      </x:c>
      <x:c r="K17" s="14" t="str">
        <x:v>low</x:v>
      </x:c>
      <x:c r="L17" s="14" t="str">
        <x:v>high</x:v>
      </x:c>
      <x:c r="M17" s="24" t="b">
        <x:v>0</x:v>
      </x:c>
      <x:c r="N17" s="14" t="str">
        <x:v>multi_word_accepted</x:v>
      </x:c>
      <x:c r="O17" s="33" t="str">
        <x:v>frozen_dev_v0.2</x:v>
      </x:c>
      <x:c r="P17" s="14" t="str">
        <x:v>İki hedef grup da gerekli. | FREEZE v0.2: Accepted after complete, concordant double review.</x:v>
      </x:c>
      <x:c r="Q17" s="25" t="e">
        <x:f>HYPERLINK(H17,"Open source")</x:f>
        <x:v>HYPERLINK is not implemented. linkLocation=https://www.kulturportali.gov.tr/turkiye/tekirdag/neyenir/herise-keskek, friendlyName=Open source</x:v>
      </x:c>
    </x:row>
    <x:row r="18">
      <x:c r="A18" s="14" t="str">
        <x:v>D015</x:v>
      </x:c>
      <x:c r="B18" s="14" t="str">
        <x:v>F059</x:v>
      </x:c>
      <x:c r="C18" s="14" t="str">
        <x:v>K5 — Culinary Terminology &amp; Traditional Practices</x:v>
      </x:c>
      <x:c r="D18" s="14" t="str">
        <x:v>Local/Technical</x:v>
      </x:c>
      <x:c r="E18" s="14" t="str">
        <x:v>Tarsus Humusunda nohutların ezildiği geleneksel bakır kabın adı nedir?</x:v>
      </x:c>
      <x:c r="F18" s="14" t="str">
        <x:v>Humus Tası</x:v>
      </x:c>
      <x:c r="G18" s="14" t="str">
        <x:v>humus tası | humus tasi</x:v>
      </x:c>
      <x:c r="H18" s="14" t="str">
        <x:v>https://ci.turkpatent.gov.tr/Files/GeographicalSigns/226.pdf</x:v>
      </x:c>
      <x:c r="I18" s="14" t="str">
        <x:v>TÜRKPATENT tescil belgesi</x:v>
      </x:c>
      <x:c r="J18" s="14" t="str">
        <x:v>L0</x:v>
      </x:c>
      <x:c r="K18" s="14" t="str">
        <x:v>low</x:v>
      </x:c>
      <x:c r="L18" s="14" t="str">
        <x:v>high</x:v>
      </x:c>
      <x:c r="M18" s="24" t="b">
        <x:v>0</x:v>
      </x:c>
      <x:c r="N18" s="14" t="str">
        <x:v>local_terminology</x:v>
      </x:c>
      <x:c r="O18" s="33" t="str">
        <x:v>frozen_dev_v0.2</x:v>
      </x:c>
      <x:c r="P18" s="14" t="str">
        <x:v>Özel kap adı. | FREEZE v0.2: Accepted after complete, concordant double review.</x:v>
      </x:c>
      <x:c r="Q18" s="25" t="e">
        <x:f>HYPERLINK(H18,"Open source")</x:f>
        <x:v>HYPERLINK is not implemented. linkLocation=https://ci.turkpatent.gov.tr/Files/GeographicalSigns/226.pdf, friendlyName=Open source</x:v>
      </x:c>
    </x:row>
    <x:row r="19">
      <x:c r="A19" s="14" t="str">
        <x:v>D016</x:v>
      </x:c>
      <x:c r="B19" s="14" t="str">
        <x:v>F102</x:v>
      </x:c>
      <x:c r="C19" s="14" t="str">
        <x:v>K5 — Culinary Terminology &amp; Traditional Practices</x:v>
      </x:c>
      <x:c r="D19" s="14" t="str">
        <x:v>Local</x:v>
      </x:c>
      <x:c r="E19" s="14" t="str">
        <x:v>İzmir kültüründe lokmanın özel günlerde hazırlanarak halka ücretsiz dağıtılması geleneğine ne ad verilir?</x:v>
      </x:c>
      <x:c r="F19" s="14" t="str">
        <x:v>Lokma dökmek</x:v>
      </x:c>
      <x:c r="G19" s="14" t="str">
        <x:v>lokma dökmek | lokma döktürmek</x:v>
      </x:c>
      <x:c r="H19" s="14" t="str">
        <x:v>https://kulturportali.gov.tr/turkiye/izmir/neyenir/lokma-zmir-lokmasi</x:v>
      </x:c>
      <x:c r="I19" s="14" t="str">
        <x:v>Kültür ve Turizm Bakanlığı Kültür Portalı</x:v>
      </x:c>
      <x:c r="J19" s="14" t="str">
        <x:v>L0</x:v>
      </x:c>
      <x:c r="K19" s="14" t="str">
        <x:v>low</x:v>
      </x:c>
      <x:c r="L19" s="14" t="str">
        <x:v>high</x:v>
      </x:c>
      <x:c r="M19" s="24" t="b">
        <x:v>0</x:v>
      </x:c>
      <x:c r="N19" s="14" t="str">
        <x:v>local_terminology</x:v>
      </x:c>
      <x:c r="O19" s="33" t="str">
        <x:v>frozen_dev_v0.2</x:v>
      </x:c>
      <x:c r="P19" s="14" t="str">
        <x:v>İki yerel fiil biçimi kabul edilir. | FREEZE v0.2: Accepted after complete, concordant double review.</x:v>
      </x:c>
      <x:c r="Q19" s="25" t="e">
        <x:f>HYPERLINK(H19,"Open source")</x:f>
        <x:v>HYPERLINK is not implemented. linkLocation=https://kulturportali.gov.tr/turkiye/izmir/neyenir/lokma-zmir-lokmasi, friendlyName=Open source</x:v>
      </x:c>
    </x:row>
    <x:row r="20">
      <x:c r="A20" s="14" t="str">
        <x:v>D017</x:v>
      </x:c>
      <x:c r="B20" s="14" t="str">
        <x:v>F104</x:v>
      </x:c>
      <x:c r="C20" s="14" t="str">
        <x:v>K5 — Culinary Terminology &amp; Traditional Practices</x:v>
      </x:c>
      <x:c r="D20" s="14" t="str">
        <x:v>Local</x:v>
      </x:c>
      <x:c r="E20" s="14" t="str">
        <x:v>İzmir'in bazı yörelerinde Sura'nın üzerine sarılan yağlı zar tabakasına verilen geleneksel adlardan biri nedir?</x:v>
      </x:c>
      <x:c r="F20" s="14" t="str">
        <x:v>Gömlek</x:v>
      </x:c>
      <x:c r="G20" s="14" t="str">
        <x:v>gömlek | çember</x:v>
      </x:c>
      <x:c r="H20" s="14" t="str">
        <x:v>https://www.kulturportali.gov.tr/turkiye/izmir/neyenir/cop-ss</x:v>
      </x:c>
      <x:c r="I20" s="14" t="str">
        <x:v>Kültür ve Turizm Bakanlığı Kültür Portalı</x:v>
      </x:c>
      <x:c r="J20" s="14" t="str">
        <x:v>L0</x:v>
      </x:c>
      <x:c r="K20" s="14" t="str">
        <x:v>medium</x:v>
      </x:c>
      <x:c r="L20" s="14" t="str">
        <x:v>high</x:v>
      </x:c>
      <x:c r="M20" s="24" t="b">
        <x:v>0</x:v>
      </x:c>
      <x:c r="N20" s="14" t="str">
        <x:v>local_terminology</x:v>
      </x:c>
      <x:c r="O20" s="33" t="str">
        <x:v>frozen_dev_v0.2</x:v>
      </x:c>
      <x:c r="P20" s="14" t="str">
        <x:v>RESOLVED DURING VALIDATION: İki yerel adın eşdeğer kabulü doğrulanmalı. | FREEZE v0.2: Accepted after complete, concordant double review.</x:v>
      </x:c>
      <x:c r="Q20" s="25" t="e">
        <x:f>HYPERLINK(H20,"Open source")</x:f>
        <x:v>HYPERLINK is not implemented. linkLocation=https://www.kulturportali.gov.tr/turkiye/izmir/neyenir/cop-ss, friendlyName=Open source</x:v>
      </x:c>
    </x:row>
    <x:row r="21">
      <x:c r="A21" s="14" t="str">
        <x:v>D018</x:v>
      </x:c>
      <x:c r="B21" s="14" t="str">
        <x:v>F106</x:v>
      </x:c>
      <x:c r="C21" s="14" t="str">
        <x:v>K5 — Culinary Terminology &amp; Traditional Practices</x:v>
      </x:c>
      <x:c r="D21" s="14" t="str">
        <x:v>Local</x:v>
      </x:c>
      <x:c r="E21" s="14" t="str">
        <x:v>İzmir mutfağındaki cibez, Tire civarında hangi adla da bilinir?</x:v>
      </x:c>
      <x:c r="F21" s="14" t="str">
        <x:v>Cücük</x:v>
      </x:c>
      <x:c r="G21" s="14" t="str">
        <x:v>cücük</x:v>
      </x:c>
      <x:c r="H21" s="14" t="str">
        <x:v>https://kulturportali.gov.tr/turkiye/izmir/neyenir/cbez-cibes-salatasi</x:v>
      </x:c>
      <x:c r="I21" s="14" t="str">
        <x:v>Kültür ve Turizm Bakanlığı Kültür Portalı</x:v>
      </x:c>
      <x:c r="J21" s="14" t="str">
        <x:v>L1</x:v>
      </x:c>
      <x:c r="K21" s="14" t="str">
        <x:v>low</x:v>
      </x:c>
      <x:c r="L21" s="14" t="str">
        <x:v>high</x:v>
      </x:c>
      <x:c r="M21" s="24" t="b">
        <x:v>0</x:v>
      </x:c>
      <x:c r="N21" s="14" t="str">
        <x:v>local_terminology</x:v>
      </x:c>
      <x:c r="O21" s="33" t="str">
        <x:v>frozen_dev_v0.2</x:v>
      </x:c>
      <x:c r="P21" s="14" t="str">
        <x:v>L1: yöre ve ana terim bağlamı cevabı daraltır. | FREEZE v0.2: Accepted after complete, concordant double review.</x:v>
      </x:c>
      <x:c r="Q21" s="25" t="e">
        <x:f>HYPERLINK(H21,"Open source")</x:f>
        <x:v>HYPERLINK is not implemented. linkLocation=https://kulturportali.gov.tr/turkiye/izmir/neyenir/cbez-cibes-salatasi, friendlyName=Open source</x:v>
      </x:c>
    </x:row>
    <x:row r="22">
      <x:c r="A22" s="14" t="str">
        <x:v>D019</x:v>
      </x:c>
      <x:c r="B22" s="14" t="str">
        <x:v>F113</x:v>
      </x:c>
      <x:c r="C22" s="14" t="str">
        <x:v>K5 — Culinary Terminology &amp; Traditional Practices</x:v>
      </x:c>
      <x:c r="D22" s="14" t="str">
        <x:v>Local</x:v>
      </x:c>
      <x:c r="E22" s="14" t="str">
        <x:v>Edirne mutfağındaki Kaçamak başka hangi adla bilinir?</x:v>
      </x:c>
      <x:c r="F22" s="14" t="str">
        <x:v>Mamaliga</x:v>
      </x:c>
      <x:c r="G22" s="14" t="str">
        <x:v>mamaliga</x:v>
      </x:c>
      <x:c r="H22" s="14" t="str">
        <x:v>https://www.kulturportali.gov.tr/turkiye/edirne/neyenir/kacamak-2</x:v>
      </x:c>
      <x:c r="I22" s="14" t="str">
        <x:v>Kültür ve Turizm Bakanlığı Kültür Portalı</x:v>
      </x:c>
      <x:c r="J22" s="14" t="str">
        <x:v>L1</x:v>
      </x:c>
      <x:c r="K22" s="14" t="str">
        <x:v>low</x:v>
      </x:c>
      <x:c r="L22" s="14" t="str">
        <x:v>high</x:v>
      </x:c>
      <x:c r="M22" s="24" t="b">
        <x:v>0</x:v>
      </x:c>
      <x:c r="N22" s="14" t="str">
        <x:v>local_terminology</x:v>
      </x:c>
      <x:c r="O22" s="33" t="str">
        <x:v>frozen_dev_v0.2</x:v>
      </x:c>
      <x:c r="P22" s="14" t="str">
        <x:v>L1: ana yemek adı bağlam sağlar. | FREEZE v0.2: Accepted after complete, concordant double review.</x:v>
      </x:c>
      <x:c r="Q22" s="25" t="e">
        <x:f>HYPERLINK(H22,"Open source")</x:f>
        <x:v>HYPERLINK is not implemented. linkLocation=https://www.kulturportali.gov.tr/turkiye/edirne/neyenir/kacamak-2, friendlyName=Open source</x:v>
      </x:c>
    </x:row>
    <x:row r="23">
      <x:c r="A23" s="14" t="str">
        <x:v>D020</x:v>
      </x:c>
      <x:c r="B23" s="14" t="str">
        <x:v>F116</x:v>
      </x:c>
      <x:c r="C23" s="14" t="str">
        <x:v>K5 — Culinary Terminology &amp; Traditional Practices</x:v>
      </x:c>
      <x:c r="D23" s="14" t="str">
        <x:v>Local/Heritage</x:v>
      </x:c>
      <x:c r="E23" s="14" t="str">
        <x:v>Afyonkarahisar'da doğumdan sonra misafirlere ikram edilen sıra yemeklerine ne ad verilir?</x:v>
      </x:c>
      <x:c r="F23" s="14" t="str">
        <x:v>Takım</x:v>
      </x:c>
      <x:c r="G23" s="14" t="str">
        <x:v>takım</x:v>
      </x:c>
      <x:c r="H23" s="14" t="str">
        <x:v>https://www.kulturportali.gov.tr/turkiye/afyonkarahisar/kulturatlasi/sira-yemegi</x:v>
      </x:c>
      <x:c r="I23" s="14" t="str">
        <x:v>Kültür ve Turizm Bakanlığı Kültür Portalı</x:v>
      </x:c>
      <x:c r="J23" s="14" t="str">
        <x:v>L0</x:v>
      </x:c>
      <x:c r="K23" s="14" t="str">
        <x:v>low</x:v>
      </x:c>
      <x:c r="L23" s="14" t="str">
        <x:v>high</x:v>
      </x:c>
      <x:c r="M23" s="24" t="b">
        <x:v>0</x:v>
      </x:c>
      <x:c r="N23" s="14" t="str">
        <x:v>local_terminology</x:v>
      </x:c>
      <x:c r="O23" s="33" t="str">
        <x:v>frozen_dev_v0.2</x:v>
      </x:c>
      <x:c r="P23" s="14" t="str">
        <x:v>Yerel doğum yemeği terminolojisi. | FREEZE v0.2: Accepted after complete, concordant double review.</x:v>
      </x:c>
      <x:c r="Q23" s="25" t="e">
        <x:f>HYPERLINK(H23,"Open source")</x:f>
        <x:v>HYPERLINK is not implemented. linkLocation=https://www.kulturportali.gov.tr/turkiye/afyonkarahisar/kulturatlasi/sira-yemegi, friendlyName=Open source</x:v>
      </x:c>
    </x:row>
    <x:row r="24">
      <x:c r="A24" s="14" t="str">
        <x:v>D021</x:v>
      </x:c>
      <x:c r="B24" s="14" t="str">
        <x:v>F117</x:v>
      </x:c>
      <x:c r="C24" s="14" t="str">
        <x:v>K6 — Culinary History, Heritage &amp; Cultural Context</x:v>
      </x:c>
      <x:c r="D24" s="14" t="str">
        <x:v>Local/Heritage</x:v>
      </x:c>
      <x:c r="E24" s="14" t="str">
        <x:v>Afyonkarahisar'da nişan töreninin ertesi günü yapılan geleneksel yemekli davetin adı nedir?</x:v>
      </x:c>
      <x:c r="F24" s="14" t="str">
        <x:v>Zinardı daveti</x:v>
      </x:c>
      <x:c r="G24" s="14" t="str">
        <x:v>zinardı daveti | zinardı | sini ardı daveti | sini ardı</x:v>
      </x:c>
      <x:c r="H24" s="14" t="str">
        <x:v>https://www.kulturportali.gov.tr/turkiye/afyonkarahisar/kulturatlasi/sira-yemegi</x:v>
      </x:c>
      <x:c r="I24" s="14" t="str">
        <x:v>Kültür ve Turizm Bakanlığı Kültür Portalı</x:v>
      </x:c>
      <x:c r="J24" s="14" t="str">
        <x:v>L0</x:v>
      </x:c>
      <x:c r="K24" s="14" t="str">
        <x:v>medium</x:v>
      </x:c>
      <x:c r="L24" s="14" t="str">
        <x:v>high</x:v>
      </x:c>
      <x:c r="M24" s="24" t="b">
        <x:v>0</x:v>
      </x:c>
      <x:c r="N24" s="14" t="str">
        <x:v>local_terminology</x:v>
      </x:c>
      <x:c r="O24" s="33" t="str">
        <x:v>frozen_dev_v0.2</x:v>
      </x:c>
      <x:c r="P24" s="14" t="str">
        <x:v>RESOLVED DURING VALIDATION: Zinardı/sini ardı yazım ve kısa yanıt varyantları onaylanmalı. | FREEZE v0.2: Clarity revision based on independent adjudicator note; answer forms remain unchanged.</x:v>
      </x:c>
      <x:c r="Q24" s="25" t="e">
        <x:f>HYPERLINK(H24,"Open source")</x:f>
        <x:v>HYPERLINK is not implemented. linkLocation=https://www.kulturportali.gov.tr/turkiye/afyonkarahisar/kulturatlasi/sira-yemegi, friendlyName=Open source</x:v>
      </x:c>
    </x:row>
    <x:row r="25">
      <x:c r="A25" s="14" t="str">
        <x:v>D022</x:v>
      </x:c>
      <x:c r="B25" s="14" t="str">
        <x:v>F118</x:v>
      </x:c>
      <x:c r="C25" s="14" t="str">
        <x:v>K5 — Culinary Terminology &amp; Traditional Practices</x:v>
      </x:c>
      <x:c r="D25" s="14" t="str">
        <x:v>Local/Technical</x:v>
      </x:c>
      <x:c r="E25" s="14" t="str">
        <x:v>Afyon mutfak kültüründe yer alan sıra yemeğinde, yemeklerin sofraya geliş sırasını düzenleme işine ne ad verilir?</x:v>
      </x:c>
      <x:c r="F25" s="14" t="str">
        <x:v>Yemek kurtarma</x:v>
      </x:c>
      <x:c r="G25" s="14" t="str">
        <x:v>yemek kurtarma</x:v>
      </x:c>
      <x:c r="H25" s="14" t="str">
        <x:v>https://www.kulturportali.gov.tr/turkiye/afyonkarahisar/kulturatlasi/sira-yemegi</x:v>
      </x:c>
      <x:c r="I25" s="14" t="str">
        <x:v>Kültür ve Turizm Bakanlığı Kültür Portalı</x:v>
      </x:c>
      <x:c r="J25" s="14" t="str">
        <x:v>L0</x:v>
      </x:c>
      <x:c r="K25" s="14" t="str">
        <x:v>low</x:v>
      </x:c>
      <x:c r="L25" s="14" t="str">
        <x:v>high</x:v>
      </x:c>
      <x:c r="M25" s="24" t="b">
        <x:v>0</x:v>
      </x:c>
      <x:c r="N25" s="14" t="str">
        <x:v>local_terminology</x:v>
      </x:c>
      <x:c r="O25" s="33" t="str">
        <x:v>frozen_dev_v0.2</x:v>
      </x:c>
      <x:c r="P25" s="14" t="str">
        <x:v>Yerel servis düzenleme terimi. | FREEZE v0.2: Contextual clarity revision based on independent adjudicator note.</x:v>
      </x:c>
      <x:c r="Q25" s="25" t="e">
        <x:f>HYPERLINK(H25,"Open source")</x:f>
        <x:v>HYPERLINK is not implemented. linkLocation=https://www.kulturportali.gov.tr/turkiye/afyonkarahisar/kulturatlasi/sira-yemegi, friendlyName=Open source</x:v>
      </x:c>
    </x:row>
    <x:row r="26">
      <x:c r="A26" s="14" t="str">
        <x:v>D023</x:v>
      </x:c>
      <x:c r="B26" s="14" t="str">
        <x:v>F008</x:v>
      </x:c>
      <x:c r="C26" s="14" t="str">
        <x:v>K2 — Ingredients &amp; Composition</x:v>
      </x:c>
      <x:c r="D26" s="14" t="str">
        <x:v>Technical</x:v>
      </x:c>
      <x:c r="E26" s="14" t="str">
        <x:v>Kuru Antep Baklavasında raf ömrünü uzatmak amacıyla kullanılmayan bileşen nedir?</x:v>
      </x:c>
      <x:c r="F26" s="14" t="str">
        <x:v>Kaymak</x:v>
      </x:c>
      <x:c r="G26" s="14" t="str">
        <x:v>kaymak</x:v>
      </x:c>
      <x:c r="H26" s="14" t="str">
        <x:v>https://ci.turkpatent.gov.tr/Files/GeographicalSigns/0cbbdd44-8cae-4ef4-af94-b2889a94f28c.pdf</x:v>
      </x:c>
      <x:c r="I26" s="14" t="str">
        <x:v>TÜRKPATENT tescil belgesi</x:v>
      </x:c>
      <x:c r="J26" s="14" t="str">
        <x:v>L1</x:v>
      </x:c>
      <x:c r="K26" s="14" t="str">
        <x:v>low</x:v>
      </x:c>
      <x:c r="L26" s="14" t="str">
        <x:v>high</x:v>
      </x:c>
      <x:c r="M26" s="24" t="b">
        <x:v>0</x:v>
      </x:c>
      <x:c r="N26" s="14" t="str">
        <x:v>technical_culinary</x:v>
      </x:c>
      <x:c r="O26" s="33" t="str">
        <x:v>frozen_dev_v0.2</x:v>
      </x:c>
      <x:c r="P26" s="14" t="str">
        <x:v>L1: 'kuru' ürün türü bağlam sağlar. | FREEZE v0.2: Accepted after complete, concordant double review.</x:v>
      </x:c>
      <x:c r="Q26" s="25" t="e">
        <x:f>HYPERLINK(H26,"Open source")</x:f>
        <x:v>HYPERLINK is not implemented. linkLocation=https://ci.turkpatent.gov.tr/Files/GeographicalSigns/0cbbdd44-8cae-4ef4-af94-b2889a94f28c.pdf, friendlyName=Open source</x:v>
      </x:c>
    </x:row>
    <x:row r="27">
      <x:c r="A27" s="14" t="str">
        <x:v>D024</x:v>
      </x:c>
      <x:c r="B27" s="14" t="str">
        <x:v>F016</x:v>
      </x:c>
      <x:c r="C27" s="14" t="str">
        <x:v>K3 — Preparation &amp; Cooking Techniques</x:v>
      </x:c>
      <x:c r="D27" s="14" t="str">
        <x:v>Technical</x:v>
      </x:c>
      <x:c r="E27" s="14" t="str">
        <x:v>Maraş Tarhanası üretiminde yoğurt, dövmeye hangi aşamada eklenir?</x:v>
      </x:c>
      <x:c r="F27" s="14" t="str">
        <x:v>Pişirme ve soğutma sonrasında</x:v>
      </x:c>
      <x:c r="G27" s="14" t="str">
        <x:v>pişirme ve soğutma sonrasında | pişirmeden ve soğutmadan sonra | dövme pişirilip soğutulduktan sonra | pişmiş dövme soğutulduktan sonra</x:v>
      </x:c>
      <x:c r="H27" s="14" t="str">
        <x:v>https://ci.turkpatent.gov.tr/Files/GeographicalSigns/8c3d053b-bb27-4305-a46f-398c181d189e.pdf</x:v>
      </x:c>
      <x:c r="I27" s="14" t="str">
        <x:v>TÜRKPATENT tescil belgesi</x:v>
      </x:c>
      <x:c r="J27" s="14" t="str">
        <x:v>L0</x:v>
      </x:c>
      <x:c r="K27" s="14" t="str">
        <x:v>medium</x:v>
      </x:c>
      <x:c r="L27" s="14" t="str">
        <x:v>high</x:v>
      </x:c>
      <x:c r="M27" s="24" t="b">
        <x:v>0</x:v>
      </x:c>
      <x:c r="N27" s="14" t="str">
        <x:v>technical_culinary</x:v>
      </x:c>
      <x:c r="O27" s="33" t="str">
        <x:v>frozen_dev_v0.2</x:v>
      </x:c>
      <x:c r="P27" s="14" t="str">
        <x:v>RESOLVED DURING VALIDATION: 60 °C'ye kadar soğutma ayrıntısının zorunluluğu belirlenmeli. | FREEZE v0.2: Accepted after complete, concordant double review.</x:v>
      </x:c>
      <x:c r="Q27" s="25" t="e">
        <x:f>HYPERLINK(H27,"Open source")</x:f>
        <x:v>HYPERLINK is not implemented. linkLocation=https://ci.turkpatent.gov.tr/Files/GeographicalSigns/8c3d053b-bb27-4305-a46f-398c181d189e.pdf, friendlyName=Open source</x:v>
      </x:c>
    </x:row>
    <x:row r="28">
      <x:c r="A28" s="14" t="str">
        <x:v>D025</x:v>
      </x:c>
      <x:c r="B28" s="14" t="str">
        <x:v>F018</x:v>
      </x:c>
      <x:c r="C28" s="14" t="str">
        <x:v>K3 — Preparation &amp; Cooking Techniques</x:v>
      </x:c>
      <x:c r="D28" s="14" t="str">
        <x:v>Technical</x:v>
      </x:c>
      <x:c r="E28" s="14" t="str">
        <x:v>Afyon Sucuğu hamuru hangi tür bağırsağa doldurulur?</x:v>
      </x:c>
      <x:c r="F28" s="14" t="str">
        <x:v>Sığır bağırsağı</x:v>
      </x:c>
      <x:c r="G28" s="14" t="str">
        <x:v>sığır bağırsağı | sığır bağırsağına</x:v>
      </x:c>
      <x:c r="H28" s="14" t="str">
        <x:v>https://ci.turkpatent.gov.tr/Files/GeographicalSigns/11b3bb14-c7b9-4447-89c6-e0858d9f2688.pdf</x:v>
      </x:c>
      <x:c r="I28" s="14" t="str">
        <x:v>TÜRKPATENT tescil belgesi</x:v>
      </x:c>
      <x:c r="J28" s="14" t="str">
        <x:v>L0</x:v>
      </x:c>
      <x:c r="K28" s="14" t="str">
        <x:v>low</x:v>
      </x:c>
      <x:c r="L28" s="14" t="str">
        <x:v>high</x:v>
      </x:c>
      <x:c r="M28" s="24" t="b">
        <x:v>0</x:v>
      </x:c>
      <x:c r="N28" s="14" t="str">
        <x:v>technical_culinary</x:v>
      </x:c>
      <x:c r="O28" s="33" t="str">
        <x:v>frozen_dev_v0.2</x:v>
      </x:c>
      <x:c r="P28" s="14" t="str">
        <x:v>Dolum malzemesi. | FREEZE v0.2: Accepted after complete, concordant double review.</x:v>
      </x:c>
      <x:c r="Q28" s="25" t="e">
        <x:f>HYPERLINK(H28,"Open source")</x:f>
        <x:v>HYPERLINK is not implemented. linkLocation=https://ci.turkpatent.gov.tr/Files/GeographicalSigns/11b3bb14-c7b9-4447-89c6-e0858d9f2688.pdf, friendlyName=Open source</x:v>
      </x:c>
    </x:row>
    <x:row r="29">
      <x:c r="A29" s="14" t="str">
        <x:v>D026</x:v>
      </x:c>
      <x:c r="B29" s="14" t="str">
        <x:v>F052</x:v>
      </x:c>
      <x:c r="C29" s="14" t="str">
        <x:v>K3 — Preparation &amp; Cooking Techniques</x:v>
      </x:c>
      <x:c r="D29" s="14" t="str">
        <x:v>Local/Technical</x:v>
      </x:c>
      <x:c r="E29" s="14" t="str">
        <x:v>Malatya Kâğıt Kebabının taş fırını geleneksel olarak hangi odunla ısıtılır?</x:v>
      </x:c>
      <x:c r="F29" s="14" t="str">
        <x:v>Meşe odunu</x:v>
      </x:c>
      <x:c r="G29" s="14" t="str">
        <x:v>meşe odunu | meşe</x:v>
      </x:c>
      <x:c r="H29" s="14" t="str">
        <x:v>https://ci.turkpatent.gov.tr/Files/GeographicalSigns/024913eb-9b44-4d6b-8a23-d1a173884fd5.pdf</x:v>
      </x:c>
      <x:c r="I29" s="14" t="str">
        <x:v>TÜRKPATENT tescil belgesi</x:v>
      </x:c>
      <x:c r="J29" s="14" t="str">
        <x:v>L0</x:v>
      </x:c>
      <x:c r="K29" s="14" t="str">
        <x:v>low</x:v>
      </x:c>
      <x:c r="L29" s="14" t="str">
        <x:v>high</x:v>
      </x:c>
      <x:c r="M29" s="24" t="b">
        <x:v>0</x:v>
      </x:c>
      <x:c r="N29" s="14" t="str">
        <x:v>technical_culinary</x:v>
      </x:c>
      <x:c r="O29" s="33" t="str">
        <x:v>frozen_dev_v0.2</x:v>
      </x:c>
      <x:c r="P29" s="14" t="str">
        <x:v>Yakıt türü. | FREEZE v0.2: Accepted after complete, concordant double review.</x:v>
      </x:c>
      <x:c r="Q29" s="25" t="e">
        <x:f>HYPERLINK(H29,"Open source")</x:f>
        <x:v>HYPERLINK is not implemented. linkLocation=https://ci.turkpatent.gov.tr/Files/GeographicalSigns/024913eb-9b44-4d6b-8a23-d1a173884fd5.pdf, friendlyName=Open source</x:v>
      </x:c>
    </x:row>
    <x:row r="30">
      <x:c r="A30" s="14" t="str">
        <x:v>D027</x:v>
      </x:c>
      <x:c r="B30" s="14" t="str">
        <x:v>F062</x:v>
      </x:c>
      <x:c r="C30" s="14" t="str">
        <x:v>K3 — Preparation &amp; Cooking Techniques</x:v>
      </x:c>
      <x:c r="D30" s="14" t="str">
        <x:v>Local/Technical</x:v>
      </x:c>
      <x:c r="E30" s="14" t="str">
        <x:v>Ordu Tostu için üretilen özel ekmek geleneksel olarak hangi yakıtla pişirilir?</x:v>
      </x:c>
      <x:c r="F30" s="14" t="str">
        <x:v>Fındık kabuğu</x:v>
      </x:c>
      <x:c r="G30" s="14" t="str">
        <x:v>fındık kabuğu | fındık kabuğu ateşi | fındık kabuğu ateşinde</x:v>
      </x:c>
      <x:c r="H30" s="14" t="str">
        <x:v>https://ci.turkpatent.gov.tr/Files/GeographicalSigns/3612f8b8-12ff-4c4d-bc58-896f37cec09b.pdf</x:v>
      </x:c>
      <x:c r="I30" s="14" t="str">
        <x:v>TÜRKPATENT tescil belgesi</x:v>
      </x:c>
      <x:c r="J30" s="14" t="str">
        <x:v>L0</x:v>
      </x:c>
      <x:c r="K30" s="14" t="str">
        <x:v>low</x:v>
      </x:c>
      <x:c r="L30" s="14" t="str">
        <x:v>high</x:v>
      </x:c>
      <x:c r="M30" s="24" t="b">
        <x:v>0</x:v>
      </x:c>
      <x:c r="N30" s="14" t="str">
        <x:v>technical_culinary</x:v>
      </x:c>
      <x:c r="O30" s="33" t="str">
        <x:v>frozen_dev_v0.2</x:v>
      </x:c>
      <x:c r="P30" s="14" t="str">
        <x:v>Özel ekmeğin pişirme yakıtı. | FREEZE v0.2: Accepted after complete, concordant double review.</x:v>
      </x:c>
      <x:c r="Q30" s="25" t="e">
        <x:f>HYPERLINK(H30,"Open source")</x:f>
        <x:v>HYPERLINK is not implemented. linkLocation=https://ci.turkpatent.gov.tr/Files/GeographicalSigns/3612f8b8-12ff-4c4d-bc58-896f37cec09b.pdf, friendlyName=Open source</x:v>
      </x:c>
    </x:row>
    <x:row r="31">
      <x:c r="A31" s="14" t="str">
        <x:v>D028</x:v>
      </x:c>
      <x:c r="B31" s="14" t="str">
        <x:v>F109</x:v>
      </x:c>
      <x:c r="C31" s="14" t="str">
        <x:v>K3 — Preparation &amp; Cooking Techniques</x:v>
      </x:c>
      <x:c r="D31" s="14" t="str">
        <x:v>Local/Technical</x:v>
      </x:c>
      <x:c r="E31" s="14" t="str">
        <x:v>Tekirdağ Bulamasında köpük oluşturmak amacıyla kullanılan geleneksel bitkisel bileşen nedir?</x:v>
      </x:c>
      <x:c r="F31" s="14" t="str">
        <x:v>Çöven</x:v>
      </x:c>
      <x:c r="G31" s="14" t="str">
        <x:v>çöven | çöğen</x:v>
      </x:c>
      <x:c r="H31" s="14" t="str">
        <x:v>https://www.kulturportali.gov.tr/turkiye/tekirdag/neyenir/bulama</x:v>
      </x:c>
      <x:c r="I31" s="14" t="str">
        <x:v>Kültür ve Turizm Bakanlığı Kültür Portalı</x:v>
      </x:c>
      <x:c r="J31" s="14" t="str">
        <x:v>L0</x:v>
      </x:c>
      <x:c r="K31" s="14" t="str">
        <x:v>medium</x:v>
      </x:c>
      <x:c r="L31" s="14" t="str">
        <x:v>high</x:v>
      </x:c>
      <x:c r="M31" s="24" t="b">
        <x:v>0</x:v>
      </x:c>
      <x:c r="N31" s="14" t="str">
        <x:v>technical_culinary</x:v>
      </x:c>
      <x:c r="O31" s="33" t="str">
        <x:v>frozen_dev_v0.2</x:v>
      </x:c>
      <x:c r="P31" s="14" t="str">
        <x:v>RESOLVED DURING VALIDATION: Çöven/çöğen yazım varyantlarının eşdeğerliği doğrulanmalı. | FREEZE v0.2: Accepted after complete, concordant double review.</x:v>
      </x:c>
      <x:c r="Q31" s="25" t="e">
        <x:f>HYPERLINK(H31,"Open source")</x:f>
        <x:v>HYPERLINK is not implemented. linkLocation=https://www.kulturportali.gov.tr/turkiye/tekirdag/neyenir/bulama, friendlyName=Open source</x:v>
      </x:c>
    </x:row>
    <x:row r="32">
      <x:c r="A32" s="14" t="str">
        <x:v>D029</x:v>
      </x:c>
      <x:c r="B32" s="14" t="str">
        <x:v>F027</x:v>
      </x:c>
      <x:c r="C32" s="14" t="str">
        <x:v>K5 — Culinary Terminology &amp; Traditional Practices</x:v>
      </x:c>
      <x:c r="D32" s="14" t="str">
        <x:v>General/Heritage</x:v>
      </x:c>
      <x:c r="E32" s="14" t="str">
        <x:v>Türk kahvesi içildikten sonra fincanda kalan telve geleneksel olarak hangi uygulamada kullanılır?</x:v>
      </x:c>
      <x:c r="F32" s="14" t="str">
        <x:v>Fal bakmak</x:v>
      </x:c>
      <x:c r="G32" s="14" t="str">
        <x:v>fal bakmak | kahve falı | kahve falı bakmak | falcılık</x:v>
      </x:c>
      <x:c r="H32" s="14" t="str">
        <x:v>https://ich.unesco.org/en/RL/turkish-coffee-culture-and-tradition-00645</x:v>
      </x:c>
      <x:c r="I32" s="14" t="str">
        <x:v>UNESCO ICH kaydı</x:v>
      </x:c>
      <x:c r="J32" s="14" t="str">
        <x:v>L0</x:v>
      </x:c>
      <x:c r="K32" s="14" t="str">
        <x:v>low</x:v>
      </x:c>
      <x:c r="L32" s="14" t="str">
        <x:v>high</x:v>
      </x:c>
      <x:c r="M32" s="24" t="b">
        <x:v>0</x:v>
      </x:c>
      <x:c r="N32" s="14" t="str">
        <x:v>cultural_heritage</x:v>
      </x:c>
      <x:c r="O32" s="33" t="str">
        <x:v>frozen_dev_v0.2</x:v>
      </x:c>
      <x:c r="P32" s="14" t="str">
        <x:v>UNESCO kaydındaki sosyal uygulama. | FREEZE v0.2: Accepted after complete, concordant double review.</x:v>
      </x:c>
      <x:c r="Q32" s="25" t="e">
        <x:f>HYPERLINK(H32,"Open source")</x:f>
        <x:v>HYPERLINK is not implemented. linkLocation=https://ich.unesco.org/en/RL/turkish-coffee-culture-and-tradition-00645, friendlyName=Open source</x:v>
      </x:c>
    </x:row>
    <x:row r="33">
      <x:c r="A33" s="14" t="str">
        <x:v>D030</x:v>
      </x:c>
      <x:c r="B33" s="14" t="str">
        <x:v>F036</x:v>
      </x:c>
      <x:c r="C33" s="14" t="str">
        <x:v>K6 — Culinary History, Heritage &amp; Cultural Context</x:v>
      </x:c>
      <x:c r="D33" s="14" t="str">
        <x:v>General/Heritage</x:v>
      </x:c>
      <x:c r="E33" s="14" t="str">
        <x:v>Türkiye ile birlikte Çay Kültürü unsurunu UNESCO'ya ortak kaydettiren ülke hangisidir?</x:v>
      </x:c>
      <x:c r="F33" s="14" t="str">
        <x:v>Azerbaycan</x:v>
      </x:c>
      <x:c r="G33" s="14" t="str">
        <x:v>azerbaycan | azerbaijan</x:v>
      </x:c>
      <x:c r="H33" s="14" t="str">
        <x:v>https://ich.unesco.org/en/RL/culture-of-cay-tea-a-symbol-of-identity-hospitality-and-social-interaction-01685</x:v>
      </x:c>
      <x:c r="I33" s="14" t="str">
        <x:v>UNESCO ICH kaydı</x:v>
      </x:c>
      <x:c r="J33" s="14" t="str">
        <x:v>L0</x:v>
      </x:c>
      <x:c r="K33" s="14" t="str">
        <x:v>low</x:v>
      </x:c>
      <x:c r="L33" s="14" t="str">
        <x:v>high</x:v>
      </x:c>
      <x:c r="M33" s="24" t="b">
        <x:v>0</x:v>
      </x:c>
      <x:c r="N33" s="14" t="str">
        <x:v>cultural_heritage</x:v>
      </x:c>
      <x:c r="O33" s="33" t="str">
        <x:v>frozen_dev_v0.2</x:v>
      </x:c>
      <x:c r="P33" s="14" t="str">
        <x:v>Ortak UNESCO kaydındaki diğer ülke. | FREEZE v0.2: Accepted after complete, concordant double review.</x:v>
      </x:c>
      <x:c r="Q33" s="25" t="e">
        <x:f>HYPERLINK(H33,"Open source")</x:f>
        <x:v>HYPERLINK is not implemented. linkLocation=https://ich.unesco.org/en/RL/culture-of-cay-tea-a-symbol-of-identity-hospitality-and-social-interaction-01685, friendlyName=Open source</x:v>
      </x:c>
    </x:row>
    <x:row r="34">
      <x:c r="A34" s="14" t="str">
        <x:v>D031</x:v>
      </x:c>
      <x:c r="B34" s="14" t="str">
        <x:v>F084</x:v>
      </x:c>
      <x:c r="C34" s="14" t="str">
        <x:v>K6 — Culinary History, Heritage &amp; Cultural Context</x:v>
      </x:c>
      <x:c r="D34" s="14" t="str">
        <x:v>General/Heritage</x:v>
      </x:c>
      <x:c r="E34" s="14" t="str">
        <x:v>Geleneksel yassı ekmek yapımı aile dışında hangi öğrenme ilişkisiyle aktarılır?</x:v>
      </x:c>
      <x:c r="F34" s="14" t="str">
        <x:v>Usta-çırak</x:v>
      </x:c>
      <x:c r="G34" s="14" t="str">
        <x:v>usta-çırak | usta çırak | ustadan çırağa | usta-çırak ilişkisi</x:v>
      </x:c>
      <x:c r="H34" s="14" t="str">
        <x:v>https://ich.unesco.org/en/RL/flatbread-making-and-sharing-culture-lavash-katyrma-jupka-yufka-01181</x:v>
      </x:c>
      <x:c r="I34" s="14" t="str">
        <x:v>UNESCO ICH kaydı</x:v>
      </x:c>
      <x:c r="J34" s="14" t="str">
        <x:v>L0</x:v>
      </x:c>
      <x:c r="K34" s="14" t="str">
        <x:v>low</x:v>
      </x:c>
      <x:c r="L34" s="14" t="str">
        <x:v>high</x:v>
      </x:c>
      <x:c r="M34" s="24" t="b">
        <x:v>0</x:v>
      </x:c>
      <x:c r="N34" s="14" t="str">
        <x:v>cultural_heritage</x:v>
      </x:c>
      <x:c r="O34" s="33" t="str">
        <x:v>frozen_dev_v0.2</x:v>
      </x:c>
      <x:c r="P34" s="14" t="str">
        <x:v>UNESCO aktarım biçimi. | FREEZE v0.2: Accepted after complete, concordant double review.</x:v>
      </x:c>
      <x:c r="Q34" s="25" t="e">
        <x:f>HYPERLINK(H34,"Open source")</x:f>
        <x:v>HYPERLINK is not implemented. linkLocation=https://ich.unesco.org/en/RL/flatbread-making-and-sharing-culture-lavash-katyrma-jupka-yufka-01181, friendlyName=Open source</x:v>
      </x:c>
    </x:row>
    <x:row r="35">
      <x:c r="A35" s="14" t="str">
        <x:v>D032</x:v>
      </x:c>
      <x:c r="B35" s="14" t="str">
        <x:v>F085</x:v>
      </x:c>
      <x:c r="C35" s="14" t="str">
        <x:v>K6 — Culinary History, Heritage &amp; Cultural Context</x:v>
      </x:c>
      <x:c r="D35" s="14" t="str">
        <x:v>Local/Heritage</x:v>
      </x:c>
      <x:c r="E35" s="14" t="str">
        <x:v>Törensel Keşkek geleneğinde buğday, törenden önceki gün hangi uygulama eşliğinde yıkanır?</x:v>
      </x:c>
      <x:c r="F35" s="14" t="str">
        <x:v>Dua</x:v>
      </x:c>
      <x:c r="G35" s="14" t="str">
        <x:v>dua | dualar | dua ederek | dualarla</x:v>
      </x:c>
      <x:c r="H35" s="14" t="str">
        <x:v>https://ich.unesco.org/en/RL/ceremonial-keskek-tradition-00388</x:v>
      </x:c>
      <x:c r="I35" s="14" t="str">
        <x:v>UNESCO ICH kaydı</x:v>
      </x:c>
      <x:c r="J35" s="14" t="str">
        <x:v>L0</x:v>
      </x:c>
      <x:c r="K35" s="14" t="str">
        <x:v>low</x:v>
      </x:c>
      <x:c r="L35" s="14" t="str">
        <x:v>high</x:v>
      </x:c>
      <x:c r="M35" s="24" t="b">
        <x:v>0</x:v>
      </x:c>
      <x:c r="N35" s="14" t="str">
        <x:v>cultural_heritage</x:v>
      </x:c>
      <x:c r="O35" s="33" t="str">
        <x:v>frozen_dev_v0.2</x:v>
      </x:c>
      <x:c r="P35" s="14" t="str">
        <x:v>Törensel hazırlık uygulaması. | FREEZE v0.2: Accepted after complete, concordant double review.</x:v>
      </x:c>
      <x:c r="Q35" s="25" t="e">
        <x:f>HYPERLINK(H35,"Open source")</x:f>
        <x:v>HYPERLINK is not implemented. linkLocation=https://ich.unesco.org/en/RL/ceremonial-keskek-tradition-00388, friendlyName=Open source</x:v>
      </x:c>
    </x:row>
    <x:row r="36">
      <x:c r="A36" s="14" t="str">
        <x:v>D033</x:v>
      </x:c>
      <x:c r="B36" s="14" t="str">
        <x:v>F096</x:v>
      </x:c>
      <x:c r="C36" s="14" t="str">
        <x:v>K6 — Culinary History, Heritage &amp; Cultural Context</x:v>
      </x:c>
      <x:c r="D36" s="14" t="str">
        <x:v>Local/Heritage</x:v>
      </x:c>
      <x:c r="E36" s="14" t="str">
        <x:v>Mesir Macunu Festivali tarihsel olarak kimin iyileşmesini anar?</x:v>
      </x:c>
      <x:c r="F36" s="14" t="str">
        <x:v>Hafsa Sultan</x:v>
      </x:c>
      <x:c r="G36" s="14" t="str">
        <x:v>hafsa sultan | ayşe hafsa sultan</x:v>
      </x:c>
      <x:c r="H36" s="14" t="str">
        <x:v>https://ich.unesco.org/en/RL/mesir-macunu-festival-00642</x:v>
      </x:c>
      <x:c r="I36" s="14" t="str">
        <x:v>UNESCO ICH kaydı</x:v>
      </x:c>
      <x:c r="J36" s="14" t="str">
        <x:v>L0</x:v>
      </x:c>
      <x:c r="K36" s="14" t="str">
        <x:v>low</x:v>
      </x:c>
      <x:c r="L36" s="14" t="str">
        <x:v>high</x:v>
      </x:c>
      <x:c r="M36" s="24" t="b">
        <x:v>0</x:v>
      </x:c>
      <x:c r="N36" s="14" t="str">
        <x:v>cultural_heritage</x:v>
      </x:c>
      <x:c r="O36" s="33" t="str">
        <x:v>frozen_dev_v0.2</x:v>
      </x:c>
      <x:c r="P36" s="14" t="str">
        <x:v>Festivalin tarihsel anlatısındaki kişi. | FREEZE v0.2: Accepted after complete, concordant double review.</x:v>
      </x:c>
      <x:c r="Q36" s="25" t="e">
        <x:f>HYPERLINK(H36,"Open source")</x:f>
        <x:v>HYPERLINK is not implemented. linkLocation=https://ich.unesco.org/en/RL/mesir-macunu-festival-00642, friendlyName=Open source</x:v>
      </x:c>
    </x:row>
    <x:row r="37">
      <x:c r="A37" s="14" t="str">
        <x:v>D034</x:v>
      </x:c>
      <x:c r="B37" s="14" t="str">
        <x:v>F101</x:v>
      </x:c>
      <x:c r="C37" s="14" t="str">
        <x:v>K6 — Culinary History, Heritage &amp; Cultural Context</x:v>
      </x:c>
      <x:c r="D37" s="14" t="str">
        <x:v>General/Heritage</x:v>
      </x:c>
      <x:c r="E37" s="14" t="str">
        <x:v>Türkiye'de güllaç geleneksel olarak hangi ayla özdeşleşir?</x:v>
      </x:c>
      <x:c r="F37" s="14" t="str">
        <x:v>Ramazan</x:v>
      </x:c>
      <x:c r="G37" s="14" t="str">
        <x:v>ramazan | ramazan ayı</x:v>
      </x:c>
      <x:c r="H37" s="14" t="str">
        <x:v>https://kulturportali.gov.tr/portal/geleneksel-lezzetler--7-ozel-gun-yemegi</x:v>
      </x:c>
      <x:c r="I37" s="14" t="str">
        <x:v>Kültür ve Turizm Bakanlığı Kültür Portalı</x:v>
      </x:c>
      <x:c r="J37" s="14" t="str">
        <x:v>L0</x:v>
      </x:c>
      <x:c r="K37" s="14" t="str">
        <x:v>low</x:v>
      </x:c>
      <x:c r="L37" s="14" t="str">
        <x:v>high</x:v>
      </x:c>
      <x:c r="M37" s="24" t="b">
        <x:v>0</x:v>
      </x:c>
      <x:c r="N37" s="14" t="str">
        <x:v>cultural_heritage</x:v>
      </x:c>
      <x:c r="O37" s="33" t="str">
        <x:v>frozen_dev_v0.2</x:v>
      </x:c>
      <x:c r="P37" s="14" t="str">
        <x:v>Kültür Portalındaki özel gün bağlamı. | FREEZE v0.2: Removed the broader 'dönem' alternative so the response type is unambiguously a month.</x:v>
      </x:c>
      <x:c r="Q37" s="25" t="e">
        <x:f>HYPERLINK(H37,"Open source")</x:f>
        <x:v>HYPERLINK is not implemented. linkLocation=https://kulturportali.gov.tr/portal/geleneksel-lezzetler--7-ozel-gun-yemegi, friendlyName=Open source</x:v>
      </x:c>
    </x:row>
    <x:row r="38">
      <x:c r="A38" s="14" t="str">
        <x:v>D035</x:v>
      </x:c>
      <x:c r="B38" s="14" t="str">
        <x:v>F010</x:v>
      </x:c>
      <x:c r="C38" s="14" t="str">
        <x:v>K4 — Geographical Indications &amp; Product Specifications</x:v>
      </x:c>
      <x:c r="D38" s="14" t="str">
        <x:v>Technical</x:v>
      </x:c>
      <x:c r="E38" s="14" t="str">
        <x:v>Afyon Sucuğunda manda etinin asgari oranı yüzde kaçtır?</x:v>
      </x:c>
      <x:c r="F38" s="14" t="str">
        <x:v>En az %15</x:v>
      </x:c>
      <x:c r="G38" s="14" t="str">
        <x:v>15 | %15 | yüzde 15 | en az %15 | en az yüzde 15</x:v>
      </x:c>
      <x:c r="H38" s="14" t="str">
        <x:v>https://ci.turkpatent.gov.tr/Files/GeographicalSigns/8eb202f7-bf82-48cd-9f21-955bc921c665.pdf</x:v>
      </x:c>
      <x:c r="I38" s="14" t="str">
        <x:v>TÜRKPATENT tescil belgesi</x:v>
      </x:c>
      <x:c r="J38" s="14" t="str">
        <x:v>L1</x:v>
      </x:c>
      <x:c r="K38" s="14" t="str">
        <x:v>low</x:v>
      </x:c>
      <x:c r="L38" s="14" t="str">
        <x:v>high</x:v>
      </x:c>
      <x:c r="M38" s="24" t="b">
        <x:v>1</x:v>
      </x:c>
      <x:c r="N38" s="14" t="str">
        <x:v>numeric_answer</x:v>
      </x:c>
      <x:c r="O38" s="33" t="str">
        <x:v>frozen_dev_v0.2</x:v>
      </x:c>
      <x:c r="P38" s="14" t="str">
        <x:v>L1: yüzde biçimi verilir; değer sızmaz. | FREEZE v0.2: Accepted after complete, concordant double review.</x:v>
      </x:c>
      <x:c r="Q38" s="25" t="e">
        <x:f>HYPERLINK(H38,"Open source")</x:f>
        <x:v>HYPERLINK is not implemented. linkLocation=https://ci.turkpatent.gov.tr/Files/GeographicalSigns/8eb202f7-bf82-48cd-9f21-955bc921c665.pdf, friendlyName=Open source</x:v>
      </x:c>
    </x:row>
    <x:row r="39">
      <x:c r="A39" s="14" t="str">
        <x:v>D036</x:v>
      </x:c>
      <x:c r="B39" s="14" t="str">
        <x:v>F088</x:v>
      </x:c>
      <x:c r="C39" s="14" t="str">
        <x:v>K3 — Preparation &amp; Cooking Techniques</x:v>
      </x:c>
      <x:c r="D39" s="14" t="str">
        <x:v>Local/Heritage</x:v>
      </x:c>
      <x:c r="E39" s="14" t="str">
        <x:v>Törensel Keşkek hazırlığında buğday taş havanda kaç kişi tarafından dövülür?</x:v>
      </x:c>
      <x:c r="F39" s="14" t="str">
        <x:v>2–4 kişi</x:v>
      </x:c>
      <x:c r="G39" s="14" t="str">
        <x:v>2-4 | 2–4 | 2 ila 4 | iki ila dört | iki-dört kişi</x:v>
      </x:c>
      <x:c r="H39" s="14" t="str">
        <x:v>https://ich.unesco.org/en/RL/ceremonial-keskek-tradition-00388</x:v>
      </x:c>
      <x:c r="I39" s="14" t="str">
        <x:v>UNESCO ICH kaydı</x:v>
      </x:c>
      <x:c r="J39" s="14" t="str">
        <x:v>L0</x:v>
      </x:c>
      <x:c r="K39" s="14" t="str">
        <x:v>medium</x:v>
      </x:c>
      <x:c r="L39" s="14" t="str">
        <x:v>high</x:v>
      </x:c>
      <x:c r="M39" s="24" t="b">
        <x:v>1</x:v>
      </x:c>
      <x:c r="N39" s="14" t="str">
        <x:v>numeric_answer</x:v>
      </x:c>
      <x:c r="O39" s="33" t="str">
        <x:v>frozen_dev_v0.2</x:v>
      </x:c>
      <x:c r="P39" s="14" t="str">
        <x:v>RESOLVED DURING VALIDATION: Parser sayısal aralığı tek değer değil aralık olarak değerlendirmeli. | FREEZE v0.2: Accepted after complete, concordant double review.</x:v>
      </x:c>
      <x:c r="Q39" s="25" t="e">
        <x:f>HYPERLINK(H39,"Open source")</x:f>
        <x:v>HYPERLINK is not implemented. linkLocation=https://ich.unesco.org/en/RL/ceremonial-keskek-tradition-00388, friendlyName=Open source</x:v>
      </x:c>
    </x:row>
  </x:sheetData>
  <x:mergeCells>
    <x:mergeCell ref="A1:Q1"/>
  </x:mergeCells>
  <x:pageMargins left="0.7" right="0.7" top="0.75" bottom="0.75" header="0.3" footer="0.3"/>
  <x:tableParts count="1">
    <x:tablePart xmlns:r="http://schemas.openxmlformats.org/officeDocument/2006/relationships" r:id="Rc77cf60c15994d4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630000114440918" hidden="0" customWidth="1"/>
    <x:col min="2" max="2" width="8.130000114440918" hidden="0" customWidth="1"/>
    <x:col min="3" max="3" width="21.8799991607666" hidden="0" customWidth="1"/>
    <x:col min="4" max="4" width="8.130000114440918" hidden="0" customWidth="1"/>
    <x:col min="5" max="5" width="9.380000114440918" hidden="0" customWidth="1"/>
    <x:col min="6" max="6" width="13.75" hidden="0" customWidth="1"/>
    <x:col min="7" max="7" width="38.75" hidden="0" customWidth="1"/>
    <x:col min="8" max="8" width="65" hidden="0" customWidth="1"/>
  </x:cols>
  <x:sheetData>
    <x:row r="1" ht="28.5" customHeight="1">
      <x:c r="A1" s="3" t="str">
        <x:v>Fixed Pilot Requests — 72 Rows</x:v>
      </x:c>
      <x:c r="B1" s="3" t="str">
        <x:v>Fixed Pilot Requests — 72 Rows</x:v>
      </x:c>
      <x:c r="C1" s="3" t="str">
        <x:v>Fixed Pilot Requests — 72 Rows</x:v>
      </x:c>
      <x:c r="D1" s="3" t="str">
        <x:v>Fixed Pilot Requests — 72 Rows</x:v>
      </x:c>
      <x:c r="E1" s="3" t="str">
        <x:v>Fixed Pilot Requests — 72 Rows</x:v>
      </x:c>
      <x:c r="F1" s="3" t="str">
        <x:v>Fixed Pilot Requests — 72 Rows</x:v>
      </x:c>
      <x:c r="G1" s="3" t="str">
        <x:v>Fixed Pilot Requests — 72 Rows</x:v>
      </x:c>
      <x:c r="H1" s="3" t="str">
        <x:v>Fixed Pilot Requests — 72 Rows</x:v>
      </x:c>
    </x:row>
    <x:row r="3">
      <x:c r="A3" s="19" t="str">
        <x:v>run_id</x:v>
      </x:c>
      <x:c r="B3" s="19" t="str">
        <x:v>model_slot</x:v>
      </x:c>
      <x:c r="C3" s="19" t="str">
        <x:v>requested_model_id</x:v>
      </x:c>
      <x:c r="D3" s="19" t="str">
        <x:v>item_id</x:v>
      </x:c>
      <x:c r="E3" s="19" t="str">
        <x:v>source_fact_id</x:v>
      </x:c>
      <x:c r="F3" s="19" t="str">
        <x:v>prompt_version</x:v>
      </x:c>
      <x:c r="G3" s="19" t="str">
        <x:v>question_tr</x:v>
      </x:c>
      <x:c r="H3" s="19" t="str">
        <x:v>prompt</x:v>
      </x:c>
    </x:row>
    <x:row r="4" ht="55.5" customHeight="1">
      <x:c r="A4" s="14" t="str">
        <x:v>PILOT-M1-D001</x:v>
      </x:c>
      <x:c r="B4" s="14" t="str">
        <x:v>M1</x:v>
      </x:c>
      <x:c r="C4" s="14" t="str">
        <x:v>gpt-5.5-2026-04-23</x:v>
      </x:c>
      <x:c r="D4" s="14" t="str">
        <x:v>D001</x:v>
      </x:c>
      <x:c r="E4" s="14" t="str">
        <x:v>F014</x:v>
      </x:c>
      <x:c r="F4" s="14" t="str">
        <x:v>prompt_tr_v0.1</x:v>
      </x:c>
      <x:c r="G4" s="14" t="str">
        <x:v>Adana Kebabı için et geleneksel olarak hangi araçla kıyılır?</x:v>
      </x:c>
      <x:c r="H4" s="14" t="str">
        <x:v>Aşağıdaki soruyu mümkün olduğunca kısa yanıtlayın. Yalnızca cevabı yazın; açıklama, gerekçe veya ek bilgi vermeyin. Cevabı bilmiyorsanız yalnızca “Bilmiyorum” yazın.
Soru: Adana Kebabı için et geleneksel olarak hangi araçla kıyılır?
Cevap:</x:v>
      </x:c>
    </x:row>
    <x:row r="5" ht="55.5" customHeight="1">
      <x:c r="A5" s="14" t="str">
        <x:v>PILOT-M1-D002</x:v>
      </x:c>
      <x:c r="B5" s="14" t="str">
        <x:v>M1</x:v>
      </x:c>
      <x:c r="C5" s="14" t="str">
        <x:v>gpt-5.5-2026-04-23</x:v>
      </x:c>
      <x:c r="D5" s="14" t="str">
        <x:v>D002</x:v>
      </x:c>
      <x:c r="E5" s="14" t="str">
        <x:v>F017</x:v>
      </x:c>
      <x:c r="F5" s="14" t="str">
        <x:v>prompt_tr_v0.1</x:v>
      </x:c>
      <x:c r="G5" s="14" t="str">
        <x:v>Maraş Tarhanasının kurutulmak üzere serildiği geleneksel hasır örtüye ne ad verilir?</x:v>
      </x:c>
      <x:c r="H5" s="14" t="str">
        <x:v>Aşağıdaki soruyu mümkün olduğunca kısa yanıtlayın. Yalnızca cevabı yazın; açıklama, gerekçe veya ek bilgi vermeyin. Cevabı bilmiyorsanız yalnızca “Bilmiyorum” yazın.
Soru: Maraş Tarhanasının kurutulmak üzere serildiği geleneksel hasır örtüye ne ad verilir?
Cevap:</x:v>
      </x:c>
    </x:row>
    <x:row r="6" ht="55.5" customHeight="1">
      <x:c r="A6" s="14" t="str">
        <x:v>PILOT-M1-D003</x:v>
      </x:c>
      <x:c r="B6" s="14" t="str">
        <x:v>M1</x:v>
      </x:c>
      <x:c r="C6" s="14" t="str">
        <x:v>gpt-5.5-2026-04-23</x:v>
      </x:c>
      <x:c r="D6" s="14" t="str">
        <x:v>D003</x:v>
      </x:c>
      <x:c r="E6" s="14" t="str">
        <x:v>F019</x:v>
      </x:c>
      <x:c r="F6" s="14" t="str">
        <x:v>prompt_tr_v0.1</x:v>
      </x:c>
      <x:c r="G6" s="14" t="str">
        <x:v>UNESCO tanımına göre Türk kahvesi hazırlanırken öğütülmüş kahveye başlangıçta hangi sıcaklıktaki su eklenir?</x:v>
      </x:c>
      <x:c r="H6" s="14" t="str">
        <x:v>Aşağıdaki soruyu mümkün olduğunca kısa yanıtlayın. Yalnızca cevabı yazın; açıklama, gerekçe veya ek bilgi vermeyin. Cevabı bilmiyorsanız yalnızca “Bilmiyorum” yazın.
Soru: UNESCO tanımına göre Türk kahvesi hazırlanırken öğütülmüş kahveye başlangıçta hangi sıcaklıktaki su eklenir?
Cevap:</x:v>
      </x:c>
    </x:row>
    <x:row r="7" ht="55.5" customHeight="1">
      <x:c r="A7" s="14" t="str">
        <x:v>PILOT-M1-D004</x:v>
      </x:c>
      <x:c r="B7" s="14" t="str">
        <x:v>M1</x:v>
      </x:c>
      <x:c r="C7" s="14" t="str">
        <x:v>gpt-5.5-2026-04-23</x:v>
      </x:c>
      <x:c r="D7" s="14" t="str">
        <x:v>D004</x:v>
      </x:c>
      <x:c r="E7" s="14" t="str">
        <x:v>F028</x:v>
      </x:c>
      <x:c r="F7" s="14" t="str">
        <x:v>prompt_tr_v0.1</x:v>
      </x:c>
      <x:c r="G7" s="14" t="str">
        <x:v>UNESCO'ya göre Türk kahvesine geleneksel olarak hangi içecek eşlik eder?</x:v>
      </x:c>
      <x:c r="H7" s="14" t="str">
        <x:v>Aşağıdaki soruyu mümkün olduğunca kısa yanıtlayın. Yalnızca cevabı yazın; açıklama, gerekçe veya ek bilgi vermeyin. Cevabı bilmiyorsanız yalnızca “Bilmiyorum” yazın.
Soru: UNESCO'ya göre Türk kahvesine geleneksel olarak hangi içecek eşlik eder?
Cevap:</x:v>
      </x:c>
    </x:row>
    <x:row r="8" ht="55.5" customHeight="1">
      <x:c r="A8" s="14" t="str">
        <x:v>PILOT-M1-D005</x:v>
      </x:c>
      <x:c r="B8" s="14" t="str">
        <x:v>M1</x:v>
      </x:c>
      <x:c r="C8" s="14" t="str">
        <x:v>gpt-5.5-2026-04-23</x:v>
      </x:c>
      <x:c r="D8" s="14" t="str">
        <x:v>D005</x:v>
      </x:c>
      <x:c r="E8" s="14" t="str">
        <x:v>F056</x:v>
      </x:c>
      <x:c r="F8" s="14" t="str">
        <x:v>prompt_tr_v0.1</x:v>
      </x:c>
      <x:c r="G8" s="14" t="str">
        <x:v>Antalya Piyazını diğer piyazlardan ayıran karakteristik sos nedir?</x:v>
      </x:c>
      <x:c r="H8" s="14" t="str">
        <x:v>Aşağıdaki soruyu mümkün olduğunca kısa yanıtlayın. Yalnızca cevabı yazın; açıklama, gerekçe veya ek bilgi vermeyin. Cevabı bilmiyorsanız yalnızca “Bilmiyorum” yazın.
Soru: Antalya Piyazını diğer piyazlardan ayıran karakteristik sos nedir?
Cevap:</x:v>
      </x:c>
    </x:row>
    <x:row r="9" ht="55.5" customHeight="1">
      <x:c r="A9" s="14" t="str">
        <x:v>PILOT-M1-D006</x:v>
      </x:c>
      <x:c r="B9" s="14" t="str">
        <x:v>M1</x:v>
      </x:c>
      <x:c r="C9" s="14" t="str">
        <x:v>gpt-5.5-2026-04-23</x:v>
      </x:c>
      <x:c r="D9" s="14" t="str">
        <x:v>D006</x:v>
      </x:c>
      <x:c r="E9" s="14" t="str">
        <x:v>F060</x:v>
      </x:c>
      <x:c r="F9" s="14" t="str">
        <x:v>prompt_tr_v0.1</x:v>
      </x:c>
      <x:c r="G9" s="14" t="str">
        <x:v>Tarsus Humusunda pişmiş nohut geleneksel olarak hangi araçla ezilir?</x:v>
      </x:c>
      <x:c r="H9" s="14" t="str">
        <x:v>Aşağıdaki soruyu mümkün olduğunca kısa yanıtlayın. Yalnızca cevabı yazın; açıklama, gerekçe veya ek bilgi vermeyin. Cevabı bilmiyorsanız yalnızca “Bilmiyorum” yazın.
Soru: Tarsus Humusunda pişmiş nohut geleneksel olarak hangi araçla ezilir?
Cevap:</x:v>
      </x:c>
    </x:row>
    <x:row r="10" ht="55.5" customHeight="1">
      <x:c r="A10" s="14" t="str">
        <x:v>PILOT-M1-D007</x:v>
      </x:c>
      <x:c r="B10" s="14" t="str">
        <x:v>M1</x:v>
      </x:c>
      <x:c r="C10" s="14" t="str">
        <x:v>gpt-5.5-2026-04-23</x:v>
      </x:c>
      <x:c r="D10" s="14" t="str">
        <x:v>D007</x:v>
      </x:c>
      <x:c r="E10" s="14" t="str">
        <x:v>F065</x:v>
      </x:c>
      <x:c r="F10" s="14" t="str">
        <x:v>prompt_tr_v0.1</x:v>
      </x:c>
      <x:c r="G10" s="14" t="str">
        <x:v>Erzincan Kesme Kadayıfında yufka katlarının arasına hangi kuruyemiş konur?</x:v>
      </x:c>
      <x:c r="H10" s="14" t="str">
        <x:v>Aşağıdaki soruyu mümkün olduğunca kısa yanıtlayın. Yalnızca cevabı yazın; açıklama, gerekçe veya ek bilgi vermeyin. Cevabı bilmiyorsanız yalnızca “Bilmiyorum” yazın.
Soru: Erzincan Kesme Kadayıfında yufka katlarının arasına hangi kuruyemiş konur?
Cevap:</x:v>
      </x:c>
    </x:row>
    <x:row r="11" ht="55.5" customHeight="1">
      <x:c r="A11" s="14" t="str">
        <x:v>PILOT-M1-D008</x:v>
      </x:c>
      <x:c r="B11" s="14" t="str">
        <x:v>M1</x:v>
      </x:c>
      <x:c r="C11" s="14" t="str">
        <x:v>gpt-5.5-2026-04-23</x:v>
      </x:c>
      <x:c r="D11" s="14" t="str">
        <x:v>D008</x:v>
      </x:c>
      <x:c r="E11" s="14" t="str">
        <x:v>F068</x:v>
      </x:c>
      <x:c r="F11" s="14" t="str">
        <x:v>prompt_tr_v0.1</x:v>
      </x:c>
      <x:c r="G11" s="14" t="str">
        <x:v>Diyarbakır Kaburga Dolmasının pirinçli iç harcında hangi kuruyemiş kullanılır?</x:v>
      </x:c>
      <x:c r="H11" s="14" t="str">
        <x:v>Aşağıdaki soruyu mümkün olduğunca kısa yanıtlayın. Yalnızca cevabı yazın; açıklama, gerekçe veya ek bilgi vermeyin. Cevabı bilmiyorsanız yalnızca “Bilmiyorum” yazın.
Soru: Diyarbakır Kaburga Dolmasının pirinçli iç harcında hangi kuruyemiş kullanılır?
Cevap:</x:v>
      </x:c>
    </x:row>
    <x:row r="12" ht="55.5" customHeight="1">
      <x:c r="A12" s="14" t="str">
        <x:v>PILOT-M1-D009</x:v>
      </x:c>
      <x:c r="B12" s="14" t="str">
        <x:v>M1</x:v>
      </x:c>
      <x:c r="C12" s="14" t="str">
        <x:v>gpt-5.5-2026-04-23</x:v>
      </x:c>
      <x:c r="D12" s="14" t="str">
        <x:v>D009</x:v>
      </x:c>
      <x:c r="E12" s="14" t="str">
        <x:v>F009</x:v>
      </x:c>
      <x:c r="F12" s="14" t="str">
        <x:v>prompt_tr_v0.1</x:v>
      </x:c>
      <x:c r="G12" s="14" t="str">
        <x:v>Maraş Tarhanasının iki temel bileşeni nedir?</x:v>
      </x:c>
      <x:c r="H12" s="14" t="str">
        <x:v>Aşağıdaki soruyu mümkün olduğunca kısa yanıtlayın. Yalnızca cevabı yazın; açıklama, gerekçe veya ek bilgi vermeyin. Cevabı bilmiyorsanız yalnızca “Bilmiyorum” yazın.
Soru: Maraş Tarhanasının iki temel bileşeni nedir?
Cevap:</x:v>
      </x:c>
    </x:row>
    <x:row r="13" ht="55.5" customHeight="1">
      <x:c r="A13" s="14" t="str">
        <x:v>PILOT-M1-D010</x:v>
      </x:c>
      <x:c r="B13" s="14" t="str">
        <x:v>M1</x:v>
      </x:c>
      <x:c r="C13" s="14" t="str">
        <x:v>gpt-5.5-2026-04-23</x:v>
      </x:c>
      <x:c r="D13" s="14" t="str">
        <x:v>D010</x:v>
      </x:c>
      <x:c r="E13" s="14" t="str">
        <x:v>F031</x:v>
      </x:c>
      <x:c r="F13" s="14" t="str">
        <x:v>prompt_tr_v0.1</x:v>
      </x:c>
      <x:c r="G13" s="14" t="str">
        <x:v>UNESCO tanımına göre çay geleneksel olarak hangi biçimdeki bardaklarda servis edilir?</x:v>
      </x:c>
      <x:c r="H13" s="14" t="str">
        <x:v>Aşağıdaki soruyu mümkün olduğunca kısa yanıtlayın. Yalnızca cevabı yazın; açıklama, gerekçe veya ek bilgi vermeyin. Cevabı bilmiyorsanız yalnızca “Bilmiyorum” yazın.
Soru: UNESCO tanımına göre çay geleneksel olarak hangi biçimdeki bardaklarda servis edilir?
Cevap:</x:v>
      </x:c>
    </x:row>
    <x:row r="14" ht="55.5" customHeight="1">
      <x:c r="A14" s="14" t="str">
        <x:v>PILOT-M1-D011</x:v>
      </x:c>
      <x:c r="B14" s="14" t="str">
        <x:v>M1</x:v>
      </x:c>
      <x:c r="C14" s="14" t="str">
        <x:v>gpt-5.5-2026-04-23</x:v>
      </x:c>
      <x:c r="D14" s="14" t="str">
        <x:v>D011</x:v>
      </x:c>
      <x:c r="E14" s="14" t="str">
        <x:v>F083</x:v>
      </x:c>
      <x:c r="F14" s="14" t="str">
        <x:v>prompt_tr_v0.1</x:v>
      </x:c>
      <x:c r="G14" s="14" t="str">
        <x:v>UNESCO kaydına göre Türkiye'de düğünlerde yassı ekmek kimlere verilir?</x:v>
      </x:c>
      <x:c r="H14" s="14" t="str">
        <x:v>Aşağıdaki soruyu mümkün olduğunca kısa yanıtlayın. Yalnızca cevabı yazın; açıklama, gerekçe veya ek bilgi vermeyin. Cevabı bilmiyorsanız yalnızca “Bilmiyorum” yazın.
Soru: UNESCO kaydına göre Türkiye'de düğünlerde yassı ekmek kimlere verilir?
Cevap:</x:v>
      </x:c>
    </x:row>
    <x:row r="15" ht="55.5" customHeight="1">
      <x:c r="A15" s="14" t="str">
        <x:v>PILOT-M1-D012</x:v>
      </x:c>
      <x:c r="B15" s="14" t="str">
        <x:v>M1</x:v>
      </x:c>
      <x:c r="C15" s="14" t="str">
        <x:v>gpt-5.5-2026-04-23</x:v>
      </x:c>
      <x:c r="D15" s="14" t="str">
        <x:v>D012</x:v>
      </x:c>
      <x:c r="E15" s="14" t="str">
        <x:v>F087</x:v>
      </x:c>
      <x:c r="F15" s="14" t="str">
        <x:v>prompt_tr_v0.1</x:v>
      </x:c>
      <x:c r="G15" s="14" t="str">
        <x:v>Törensel Keşkek geleneğinde buğday taşınırken hangi iki çalgı çalınır?</x:v>
      </x:c>
      <x:c r="H15" s="14" t="str">
        <x:v>Aşağıdaki soruyu mümkün olduğunca kısa yanıtlayın. Yalnızca cevabı yazın; açıklama, gerekçe veya ek bilgi vermeyin. Cevabı bilmiyorsanız yalnızca “Bilmiyorum” yazın.
Soru: Törensel Keşkek geleneğinde buğday taşınırken hangi iki çalgı çalınır?
Cevap:</x:v>
      </x:c>
    </x:row>
    <x:row r="16" ht="55.5" customHeight="1">
      <x:c r="A16" s="14" t="str">
        <x:v>PILOT-M1-D013</x:v>
      </x:c>
      <x:c r="B16" s="14" t="str">
        <x:v>M1</x:v>
      </x:c>
      <x:c r="C16" s="14" t="str">
        <x:v>gpt-5.5-2026-04-23</x:v>
      </x:c>
      <x:c r="D16" s="14" t="str">
        <x:v>D013</x:v>
      </x:c>
      <x:c r="E16" s="14" t="str">
        <x:v>F100</x:v>
      </x:c>
      <x:c r="F16" s="14" t="str">
        <x:v>prompt_tr_v0.1</x:v>
      </x:c>
      <x:c r="G16" s="14" t="str">
        <x:v>Kültür Portalına göre aşurenin temsil ettiği iki temel kavram nedir?</x:v>
      </x:c>
      <x:c r="H16" s="14" t="str">
        <x:v>Aşağıdaki soruyu mümkün olduğunca kısa yanıtlayın. Yalnızca cevabı yazın; açıklama, gerekçe veya ek bilgi vermeyin. Cevabı bilmiyorsanız yalnızca “Bilmiyorum” yazın.
Soru: Kültür Portalına göre aşurenin temsil ettiği iki temel kavram nedir?
Cevap:</x:v>
      </x:c>
    </x:row>
    <x:row r="17" ht="55.5" customHeight="1">
      <x:c r="A17" s="14" t="str">
        <x:v>PILOT-M1-D014</x:v>
      </x:c>
      <x:c r="B17" s="14" t="str">
        <x:v>M1</x:v>
      </x:c>
      <x:c r="C17" s="14" t="str">
        <x:v>gpt-5.5-2026-04-23</x:v>
      </x:c>
      <x:c r="D17" s="14" t="str">
        <x:v>D014</x:v>
      </x:c>
      <x:c r="E17" s="14" t="str">
        <x:v>F112</x:v>
      </x:c>
      <x:c r="F17" s="14" t="str">
        <x:v>prompt_tr_v0.1</x:v>
      </x:c>
      <x:c r="G17" s="14" t="str">
        <x:v>Tekirdağ'daki Herise geleneğinde düğün için hazırlanan yemekten özellikle hangi iki gruba gönderilir?</x:v>
      </x:c>
      <x:c r="H17" s="14" t="str">
        <x:v>Aşağıdaki soruyu mümkün olduğunca kısa yanıtlayın. Yalnızca cevabı yazın; açıklama, gerekçe veya ek bilgi vermeyin. Cevabı bilmiyorsanız yalnızca “Bilmiyorum” yazın.
Soru: Tekirdağ'daki Herise geleneğinde düğün için hazırlanan yemekten özellikle hangi iki gruba gönderilir?
Cevap:</x:v>
      </x:c>
    </x:row>
    <x:row r="18" ht="55.5" customHeight="1">
      <x:c r="A18" s="14" t="str">
        <x:v>PILOT-M1-D015</x:v>
      </x:c>
      <x:c r="B18" s="14" t="str">
        <x:v>M1</x:v>
      </x:c>
      <x:c r="C18" s="14" t="str">
        <x:v>gpt-5.5-2026-04-23</x:v>
      </x:c>
      <x:c r="D18" s="14" t="str">
        <x:v>D015</x:v>
      </x:c>
      <x:c r="E18" s="14" t="str">
        <x:v>F059</x:v>
      </x:c>
      <x:c r="F18" s="14" t="str">
        <x:v>prompt_tr_v0.1</x:v>
      </x:c>
      <x:c r="G18" s="14" t="str">
        <x:v>Tarsus Humusunda nohutların ezildiği geleneksel bakır kabın adı nedir?</x:v>
      </x:c>
      <x:c r="H18" s="14" t="str">
        <x:v>Aşağıdaki soruyu mümkün olduğunca kısa yanıtlayın. Yalnızca cevabı yazın; açıklama, gerekçe veya ek bilgi vermeyin. Cevabı bilmiyorsanız yalnızca “Bilmiyorum” yazın.
Soru: Tarsus Humusunda nohutların ezildiği geleneksel bakır kabın adı nedir?
Cevap:</x:v>
      </x:c>
    </x:row>
    <x:row r="19" ht="55.5" customHeight="1">
      <x:c r="A19" s="14" t="str">
        <x:v>PILOT-M1-D016</x:v>
      </x:c>
      <x:c r="B19" s="14" t="str">
        <x:v>M1</x:v>
      </x:c>
      <x:c r="C19" s="14" t="str">
        <x:v>gpt-5.5-2026-04-23</x:v>
      </x:c>
      <x:c r="D19" s="14" t="str">
        <x:v>D016</x:v>
      </x:c>
      <x:c r="E19" s="14" t="str">
        <x:v>F102</x:v>
      </x:c>
      <x:c r="F19" s="14" t="str">
        <x:v>prompt_tr_v0.1</x:v>
      </x:c>
      <x:c r="G19" s="14" t="str">
        <x:v>İzmir kültüründe lokmanın özel günlerde hazırlanarak halka ücretsiz dağıtılması geleneğine ne ad verilir?</x:v>
      </x:c>
      <x:c r="H19" s="14" t="str">
        <x:v>Aşağıdaki soruyu mümkün olduğunca kısa yanıtlayın. Yalnızca cevabı yazın; açıklama, gerekçe veya ek bilgi vermeyin. Cevabı bilmiyorsanız yalnızca “Bilmiyorum” yazın.
Soru: İzmir kültüründe lokmanın özel günlerde hazırlanarak halka ücretsiz dağıtılması geleneğine ne ad verilir?
Cevap:</x:v>
      </x:c>
    </x:row>
    <x:row r="20" ht="55.5" customHeight="1">
      <x:c r="A20" s="14" t="str">
        <x:v>PILOT-M1-D017</x:v>
      </x:c>
      <x:c r="B20" s="14" t="str">
        <x:v>M1</x:v>
      </x:c>
      <x:c r="C20" s="14" t="str">
        <x:v>gpt-5.5-2026-04-23</x:v>
      </x:c>
      <x:c r="D20" s="14" t="str">
        <x:v>D017</x:v>
      </x:c>
      <x:c r="E20" s="14" t="str">
        <x:v>F104</x:v>
      </x:c>
      <x:c r="F20" s="14" t="str">
        <x:v>prompt_tr_v0.1</x:v>
      </x:c>
      <x:c r="G20" s="14" t="str">
        <x:v>İzmir'in bazı yörelerinde Sura'nın üzerine sarılan yağlı zar tabakasına verilen geleneksel adlardan biri nedir?</x:v>
      </x:c>
      <x:c r="H20" s="14" t="str">
        <x:v>Aşağıdaki soruyu mümkün olduğunca kısa yanıtlayın. Yalnızca cevabı yazın; açıklama, gerekçe veya ek bilgi vermeyin. Cevabı bilmiyorsanız yalnızca “Bilmiyorum” yazın.
Soru: İzmir'in bazı yörelerinde Sura'nın üzerine sarılan yağlı zar tabakasına verilen geleneksel adlardan biri nedir?
Cevap:</x:v>
      </x:c>
    </x:row>
    <x:row r="21" ht="55.5" customHeight="1">
      <x:c r="A21" s="14" t="str">
        <x:v>PILOT-M1-D018</x:v>
      </x:c>
      <x:c r="B21" s="14" t="str">
        <x:v>M1</x:v>
      </x:c>
      <x:c r="C21" s="14" t="str">
        <x:v>gpt-5.5-2026-04-23</x:v>
      </x:c>
      <x:c r="D21" s="14" t="str">
        <x:v>D018</x:v>
      </x:c>
      <x:c r="E21" s="14" t="str">
        <x:v>F106</x:v>
      </x:c>
      <x:c r="F21" s="14" t="str">
        <x:v>prompt_tr_v0.1</x:v>
      </x:c>
      <x:c r="G21" s="14" t="str">
        <x:v>İzmir mutfağındaki cibez, Tire civarında hangi adla da bilinir?</x:v>
      </x:c>
      <x:c r="H21" s="14" t="str">
        <x:v>Aşağıdaki soruyu mümkün olduğunca kısa yanıtlayın. Yalnızca cevabı yazın; açıklama, gerekçe veya ek bilgi vermeyin. Cevabı bilmiyorsanız yalnızca “Bilmiyorum” yazın.
Soru: İzmir mutfağındaki cibez, Tire civarında hangi adla da bilinir?
Cevap:</x:v>
      </x:c>
    </x:row>
    <x:row r="22" ht="55.5" customHeight="1">
      <x:c r="A22" s="14" t="str">
        <x:v>PILOT-M1-D019</x:v>
      </x:c>
      <x:c r="B22" s="14" t="str">
        <x:v>M1</x:v>
      </x:c>
      <x:c r="C22" s="14" t="str">
        <x:v>gpt-5.5-2026-04-23</x:v>
      </x:c>
      <x:c r="D22" s="14" t="str">
        <x:v>D019</x:v>
      </x:c>
      <x:c r="E22" s="14" t="str">
        <x:v>F113</x:v>
      </x:c>
      <x:c r="F22" s="14" t="str">
        <x:v>prompt_tr_v0.1</x:v>
      </x:c>
      <x:c r="G22" s="14" t="str">
        <x:v>Edirne mutfağındaki Kaçamak başka hangi adla bilinir?</x:v>
      </x:c>
      <x:c r="H22" s="14" t="str">
        <x:v>Aşağıdaki soruyu mümkün olduğunca kısa yanıtlayın. Yalnızca cevabı yazın; açıklama, gerekçe veya ek bilgi vermeyin. Cevabı bilmiyorsanız yalnızca “Bilmiyorum” yazın.
Soru: Edirne mutfağındaki Kaçamak başka hangi adla bilinir?
Cevap:</x:v>
      </x:c>
    </x:row>
    <x:row r="23" ht="55.5" customHeight="1">
      <x:c r="A23" s="14" t="str">
        <x:v>PILOT-M1-D020</x:v>
      </x:c>
      <x:c r="B23" s="14" t="str">
        <x:v>M1</x:v>
      </x:c>
      <x:c r="C23" s="14" t="str">
        <x:v>gpt-5.5-2026-04-23</x:v>
      </x:c>
      <x:c r="D23" s="14" t="str">
        <x:v>D020</x:v>
      </x:c>
      <x:c r="E23" s="14" t="str">
        <x:v>F116</x:v>
      </x:c>
      <x:c r="F23" s="14" t="str">
        <x:v>prompt_tr_v0.1</x:v>
      </x:c>
      <x:c r="G23" s="14" t="str">
        <x:v>Afyonkarahisar'da doğumdan sonra misafirlere ikram edilen sıra yemeklerine ne ad verilir?</x:v>
      </x:c>
      <x:c r="H23" s="14" t="str">
        <x:v>Aşağıdaki soruyu mümkün olduğunca kısa yanıtlayın. Yalnızca cevabı yazın; açıklama, gerekçe veya ek bilgi vermeyin. Cevabı bilmiyorsanız yalnızca “Bilmiyorum” yazın.
Soru: Afyonkarahisar'da doğumdan sonra misafirlere ikram edilen sıra yemeklerine ne ad verilir?
Cevap:</x:v>
      </x:c>
    </x:row>
    <x:row r="24" ht="55.5" customHeight="1">
      <x:c r="A24" s="14" t="str">
        <x:v>PILOT-M1-D021</x:v>
      </x:c>
      <x:c r="B24" s="14" t="str">
        <x:v>M1</x:v>
      </x:c>
      <x:c r="C24" s="14" t="str">
        <x:v>gpt-5.5-2026-04-23</x:v>
      </x:c>
      <x:c r="D24" s="14" t="str">
        <x:v>D021</x:v>
      </x:c>
      <x:c r="E24" s="14" t="str">
        <x:v>F117</x:v>
      </x:c>
      <x:c r="F24" s="14" t="str">
        <x:v>prompt_tr_v0.1</x:v>
      </x:c>
      <x:c r="G24" s="14" t="str">
        <x:v>Afyonkarahisar'da nişan töreninin ertesi günü yapılan geleneksel yemekli davetin adı nedir?</x:v>
      </x:c>
      <x:c r="H24" s="14" t="str">
        <x:v>Aşağıdaki soruyu mümkün olduğunca kısa yanıtlayın. Yalnızca cevabı yazın; açıklama, gerekçe veya ek bilgi vermeyin. Cevabı bilmiyorsanız yalnızca “Bilmiyorum” yazın.
Soru: Afyonkarahisar'da nişan töreninin ertesi günü yapılan geleneksel yemekli davetin adı nedir?
Cevap:</x:v>
      </x:c>
    </x:row>
    <x:row r="25" ht="55.5" customHeight="1">
      <x:c r="A25" s="14" t="str">
        <x:v>PILOT-M1-D022</x:v>
      </x:c>
      <x:c r="B25" s="14" t="str">
        <x:v>M1</x:v>
      </x:c>
      <x:c r="C25" s="14" t="str">
        <x:v>gpt-5.5-2026-04-23</x:v>
      </x:c>
      <x:c r="D25" s="14" t="str">
        <x:v>D022</x:v>
      </x:c>
      <x:c r="E25" s="14" t="str">
        <x:v>F118</x:v>
      </x:c>
      <x:c r="F25" s="14" t="str">
        <x:v>prompt_tr_v0.1</x:v>
      </x:c>
      <x:c r="G25" s="14" t="str">
        <x:v>Afyon mutfak kültüründe yer alan sıra yemeğinde, yemeklerin sofraya geliş sırasını düzenleme işine ne ad verilir?</x:v>
      </x:c>
      <x:c r="H25" s="14" t="str">
        <x:v>Aşağıdaki soruyu mümkün olduğunca kısa yanıtlayın. Yalnızca cevabı yazın; açıklama, gerekçe veya ek bilgi vermeyin. Cevabı bilmiyorsanız yalnızca “Bilmiyorum” yazın.
Soru: Afyon mutfak kültüründe yer alan sıra yemeğinde, yemeklerin sofraya geliş sırasını düzenleme işine ne ad verilir?
Cevap:</x:v>
      </x:c>
    </x:row>
    <x:row r="26" ht="55.5" customHeight="1">
      <x:c r="A26" s="14" t="str">
        <x:v>PILOT-M1-D023</x:v>
      </x:c>
      <x:c r="B26" s="14" t="str">
        <x:v>M1</x:v>
      </x:c>
      <x:c r="C26" s="14" t="str">
        <x:v>gpt-5.5-2026-04-23</x:v>
      </x:c>
      <x:c r="D26" s="14" t="str">
        <x:v>D023</x:v>
      </x:c>
      <x:c r="E26" s="14" t="str">
        <x:v>F008</x:v>
      </x:c>
      <x:c r="F26" s="14" t="str">
        <x:v>prompt_tr_v0.1</x:v>
      </x:c>
      <x:c r="G26" s="14" t="str">
        <x:v>Kuru Antep Baklavasında raf ömrünü uzatmak amacıyla kullanılmayan bileşen nedir?</x:v>
      </x:c>
      <x:c r="H26" s="14" t="str">
        <x:v>Aşağıdaki soruyu mümkün olduğunca kısa yanıtlayın. Yalnızca cevabı yazın; açıklama, gerekçe veya ek bilgi vermeyin. Cevabı bilmiyorsanız yalnızca “Bilmiyorum” yazın.
Soru: Kuru Antep Baklavasında raf ömrünü uzatmak amacıyla kullanılmayan bileşen nedir?
Cevap:</x:v>
      </x:c>
    </x:row>
    <x:row r="27" ht="55.5" customHeight="1">
      <x:c r="A27" s="14" t="str">
        <x:v>PILOT-M1-D024</x:v>
      </x:c>
      <x:c r="B27" s="14" t="str">
        <x:v>M1</x:v>
      </x:c>
      <x:c r="C27" s="14" t="str">
        <x:v>gpt-5.5-2026-04-23</x:v>
      </x:c>
      <x:c r="D27" s="14" t="str">
        <x:v>D024</x:v>
      </x:c>
      <x:c r="E27" s="14" t="str">
        <x:v>F016</x:v>
      </x:c>
      <x:c r="F27" s="14" t="str">
        <x:v>prompt_tr_v0.1</x:v>
      </x:c>
      <x:c r="G27" s="14" t="str">
        <x:v>Maraş Tarhanası üretiminde yoğurt, dövmeye hangi aşamada eklenir?</x:v>
      </x:c>
      <x:c r="H27" s="14" t="str">
        <x:v>Aşağıdaki soruyu mümkün olduğunca kısa yanıtlayın. Yalnızca cevabı yazın; açıklama, gerekçe veya ek bilgi vermeyin. Cevabı bilmiyorsanız yalnızca “Bilmiyorum” yazın.
Soru: Maraş Tarhanası üretiminde yoğurt, dövmeye hangi aşamada eklenir?
Cevap:</x:v>
      </x:c>
    </x:row>
    <x:row r="28" ht="55.5" customHeight="1">
      <x:c r="A28" s="14" t="str">
        <x:v>PILOT-M1-D025</x:v>
      </x:c>
      <x:c r="B28" s="14" t="str">
        <x:v>M1</x:v>
      </x:c>
      <x:c r="C28" s="14" t="str">
        <x:v>gpt-5.5-2026-04-23</x:v>
      </x:c>
      <x:c r="D28" s="14" t="str">
        <x:v>D025</x:v>
      </x:c>
      <x:c r="E28" s="14" t="str">
        <x:v>F018</x:v>
      </x:c>
      <x:c r="F28" s="14" t="str">
        <x:v>prompt_tr_v0.1</x:v>
      </x:c>
      <x:c r="G28" s="14" t="str">
        <x:v>Afyon Sucuğu hamuru hangi tür bağırsağa doldurulur?</x:v>
      </x:c>
      <x:c r="H28" s="14" t="str">
        <x:v>Aşağıdaki soruyu mümkün olduğunca kısa yanıtlayın. Yalnızca cevabı yazın; açıklama, gerekçe veya ek bilgi vermeyin. Cevabı bilmiyorsanız yalnızca “Bilmiyorum” yazın.
Soru: Afyon Sucuğu hamuru hangi tür bağırsağa doldurulur?
Cevap:</x:v>
      </x:c>
    </x:row>
    <x:row r="29" ht="55.5" customHeight="1">
      <x:c r="A29" s="14" t="str">
        <x:v>PILOT-M1-D026</x:v>
      </x:c>
      <x:c r="B29" s="14" t="str">
        <x:v>M1</x:v>
      </x:c>
      <x:c r="C29" s="14" t="str">
        <x:v>gpt-5.5-2026-04-23</x:v>
      </x:c>
      <x:c r="D29" s="14" t="str">
        <x:v>D026</x:v>
      </x:c>
      <x:c r="E29" s="14" t="str">
        <x:v>F052</x:v>
      </x:c>
      <x:c r="F29" s="14" t="str">
        <x:v>prompt_tr_v0.1</x:v>
      </x:c>
      <x:c r="G29" s="14" t="str">
        <x:v>Malatya Kâğıt Kebabının taş fırını geleneksel olarak hangi odunla ısıtılır?</x:v>
      </x:c>
      <x:c r="H29" s="14" t="str">
        <x:v>Aşağıdaki soruyu mümkün olduğunca kısa yanıtlayın. Yalnızca cevabı yazın; açıklama, gerekçe veya ek bilgi vermeyin. Cevabı bilmiyorsanız yalnızca “Bilmiyorum” yazın.
Soru: Malatya Kâğıt Kebabının taş fırını geleneksel olarak hangi odunla ısıtılır?
Cevap:</x:v>
      </x:c>
    </x:row>
    <x:row r="30" ht="55.5" customHeight="1">
      <x:c r="A30" s="14" t="str">
        <x:v>PILOT-M1-D027</x:v>
      </x:c>
      <x:c r="B30" s="14" t="str">
        <x:v>M1</x:v>
      </x:c>
      <x:c r="C30" s="14" t="str">
        <x:v>gpt-5.5-2026-04-23</x:v>
      </x:c>
      <x:c r="D30" s="14" t="str">
        <x:v>D027</x:v>
      </x:c>
      <x:c r="E30" s="14" t="str">
        <x:v>F062</x:v>
      </x:c>
      <x:c r="F30" s="14" t="str">
        <x:v>prompt_tr_v0.1</x:v>
      </x:c>
      <x:c r="G30" s="14" t="str">
        <x:v>Ordu Tostu için üretilen özel ekmek geleneksel olarak hangi yakıtla pişirilir?</x:v>
      </x:c>
      <x:c r="H30" s="14" t="str">
        <x:v>Aşağıdaki soruyu mümkün olduğunca kısa yanıtlayın. Yalnızca cevabı yazın; açıklama, gerekçe veya ek bilgi vermeyin. Cevabı bilmiyorsanız yalnızca “Bilmiyorum” yazın.
Soru: Ordu Tostu için üretilen özel ekmek geleneksel olarak hangi yakıtla pişirilir?
Cevap:</x:v>
      </x:c>
    </x:row>
    <x:row r="31" ht="55.5" customHeight="1">
      <x:c r="A31" s="14" t="str">
        <x:v>PILOT-M1-D028</x:v>
      </x:c>
      <x:c r="B31" s="14" t="str">
        <x:v>M1</x:v>
      </x:c>
      <x:c r="C31" s="14" t="str">
        <x:v>gpt-5.5-2026-04-23</x:v>
      </x:c>
      <x:c r="D31" s="14" t="str">
        <x:v>D028</x:v>
      </x:c>
      <x:c r="E31" s="14" t="str">
        <x:v>F109</x:v>
      </x:c>
      <x:c r="F31" s="14" t="str">
        <x:v>prompt_tr_v0.1</x:v>
      </x:c>
      <x:c r="G31" s="14" t="str">
        <x:v>Tekirdağ Bulamasında köpük oluşturmak amacıyla kullanılan geleneksel bitkisel bileşen nedir?</x:v>
      </x:c>
      <x:c r="H31" s="14" t="str">
        <x:v>Aşağıdaki soruyu mümkün olduğunca kısa yanıtlayın. Yalnızca cevabı yazın; açıklama, gerekçe veya ek bilgi vermeyin. Cevabı bilmiyorsanız yalnızca “Bilmiyorum” yazın.
Soru: Tekirdağ Bulamasında köpük oluşturmak amacıyla kullanılan geleneksel bitkisel bileşen nedir?
Cevap:</x:v>
      </x:c>
    </x:row>
    <x:row r="32" ht="55.5" customHeight="1">
      <x:c r="A32" s="14" t="str">
        <x:v>PILOT-M1-D029</x:v>
      </x:c>
      <x:c r="B32" s="14" t="str">
        <x:v>M1</x:v>
      </x:c>
      <x:c r="C32" s="14" t="str">
        <x:v>gpt-5.5-2026-04-23</x:v>
      </x:c>
      <x:c r="D32" s="14" t="str">
        <x:v>D029</x:v>
      </x:c>
      <x:c r="E32" s="14" t="str">
        <x:v>F027</x:v>
      </x:c>
      <x:c r="F32" s="14" t="str">
        <x:v>prompt_tr_v0.1</x:v>
      </x:c>
      <x:c r="G32" s="14" t="str">
        <x:v>Türk kahvesi içildikten sonra fincanda kalan telve geleneksel olarak hangi uygulamada kullanılır?</x:v>
      </x:c>
      <x:c r="H32" s="14" t="str">
        <x:v>Aşağıdaki soruyu mümkün olduğunca kısa yanıtlayın. Yalnızca cevabı yazın; açıklama, gerekçe veya ek bilgi vermeyin. Cevabı bilmiyorsanız yalnızca “Bilmiyorum” yazın.
Soru: Türk kahvesi içildikten sonra fincanda kalan telve geleneksel olarak hangi uygulamada kullanılır?
Cevap:</x:v>
      </x:c>
    </x:row>
    <x:row r="33" ht="55.5" customHeight="1">
      <x:c r="A33" s="14" t="str">
        <x:v>PILOT-M1-D030</x:v>
      </x:c>
      <x:c r="B33" s="14" t="str">
        <x:v>M1</x:v>
      </x:c>
      <x:c r="C33" s="14" t="str">
        <x:v>gpt-5.5-2026-04-23</x:v>
      </x:c>
      <x:c r="D33" s="14" t="str">
        <x:v>D030</x:v>
      </x:c>
      <x:c r="E33" s="14" t="str">
        <x:v>F036</x:v>
      </x:c>
      <x:c r="F33" s="14" t="str">
        <x:v>prompt_tr_v0.1</x:v>
      </x:c>
      <x:c r="G33" s="14" t="str">
        <x:v>Türkiye ile birlikte Çay Kültürü unsurunu UNESCO'ya ortak kaydettiren ülke hangisidir?</x:v>
      </x:c>
      <x:c r="H33" s="14" t="str">
        <x:v>Aşağıdaki soruyu mümkün olduğunca kısa yanıtlayın. Yalnızca cevabı yazın; açıklama, gerekçe veya ek bilgi vermeyin. Cevabı bilmiyorsanız yalnızca “Bilmiyorum” yazın.
Soru: Türkiye ile birlikte Çay Kültürü unsurunu UNESCO'ya ortak kaydettiren ülke hangisidir?
Cevap:</x:v>
      </x:c>
    </x:row>
    <x:row r="34" ht="55.5" customHeight="1">
      <x:c r="A34" s="14" t="str">
        <x:v>PILOT-M1-D031</x:v>
      </x:c>
      <x:c r="B34" s="14" t="str">
        <x:v>M1</x:v>
      </x:c>
      <x:c r="C34" s="14" t="str">
        <x:v>gpt-5.5-2026-04-23</x:v>
      </x:c>
      <x:c r="D34" s="14" t="str">
        <x:v>D031</x:v>
      </x:c>
      <x:c r="E34" s="14" t="str">
        <x:v>F084</x:v>
      </x:c>
      <x:c r="F34" s="14" t="str">
        <x:v>prompt_tr_v0.1</x:v>
      </x:c>
      <x:c r="G34" s="14" t="str">
        <x:v>Geleneksel yassı ekmek yapımı aile dışında hangi öğrenme ilişkisiyle aktarılır?</x:v>
      </x:c>
      <x:c r="H34" s="14" t="str">
        <x:v>Aşağıdaki soruyu mümkün olduğunca kısa yanıtlayın. Yalnızca cevabı yazın; açıklama, gerekçe veya ek bilgi vermeyin. Cevabı bilmiyorsanız yalnızca “Bilmiyorum” yazın.
Soru: Geleneksel yassı ekmek yapımı aile dışında hangi öğrenme ilişkisiyle aktarılır?
Cevap:</x:v>
      </x:c>
    </x:row>
    <x:row r="35" ht="55.5" customHeight="1">
      <x:c r="A35" s="14" t="str">
        <x:v>PILOT-M1-D032</x:v>
      </x:c>
      <x:c r="B35" s="14" t="str">
        <x:v>M1</x:v>
      </x:c>
      <x:c r="C35" s="14" t="str">
        <x:v>gpt-5.5-2026-04-23</x:v>
      </x:c>
      <x:c r="D35" s="14" t="str">
        <x:v>D032</x:v>
      </x:c>
      <x:c r="E35" s="14" t="str">
        <x:v>F085</x:v>
      </x:c>
      <x:c r="F35" s="14" t="str">
        <x:v>prompt_tr_v0.1</x:v>
      </x:c>
      <x:c r="G35" s="14" t="str">
        <x:v>Törensel Keşkek geleneğinde buğday, törenden önceki gün hangi uygulama eşliğinde yıkanır?</x:v>
      </x:c>
      <x:c r="H35" s="14" t="str">
        <x:v>Aşağıdaki soruyu mümkün olduğunca kısa yanıtlayın. Yalnızca cevabı yazın; açıklama, gerekçe veya ek bilgi vermeyin. Cevabı bilmiyorsanız yalnızca “Bilmiyorum” yazın.
Soru: Törensel Keşkek geleneğinde buğday, törenden önceki gün hangi uygulama eşliğinde yıkanır?
Cevap:</x:v>
      </x:c>
    </x:row>
    <x:row r="36" ht="55.5" customHeight="1">
      <x:c r="A36" s="14" t="str">
        <x:v>PILOT-M1-D033</x:v>
      </x:c>
      <x:c r="B36" s="14" t="str">
        <x:v>M1</x:v>
      </x:c>
      <x:c r="C36" s="14" t="str">
        <x:v>gpt-5.5-2026-04-23</x:v>
      </x:c>
      <x:c r="D36" s="14" t="str">
        <x:v>D033</x:v>
      </x:c>
      <x:c r="E36" s="14" t="str">
        <x:v>F096</x:v>
      </x:c>
      <x:c r="F36" s="14" t="str">
        <x:v>prompt_tr_v0.1</x:v>
      </x:c>
      <x:c r="G36" s="14" t="str">
        <x:v>Mesir Macunu Festivali tarihsel olarak kimin iyileşmesini anar?</x:v>
      </x:c>
      <x:c r="H36" s="14" t="str">
        <x:v>Aşağıdaki soruyu mümkün olduğunca kısa yanıtlayın. Yalnızca cevabı yazın; açıklama, gerekçe veya ek bilgi vermeyin. Cevabı bilmiyorsanız yalnızca “Bilmiyorum” yazın.
Soru: Mesir Macunu Festivali tarihsel olarak kimin iyileşmesini anar?
Cevap:</x:v>
      </x:c>
    </x:row>
    <x:row r="37" ht="55.5" customHeight="1">
      <x:c r="A37" s="14" t="str">
        <x:v>PILOT-M1-D034</x:v>
      </x:c>
      <x:c r="B37" s="14" t="str">
        <x:v>M1</x:v>
      </x:c>
      <x:c r="C37" s="14" t="str">
        <x:v>gpt-5.5-2026-04-23</x:v>
      </x:c>
      <x:c r="D37" s="14" t="str">
        <x:v>D034</x:v>
      </x:c>
      <x:c r="E37" s="14" t="str">
        <x:v>F101</x:v>
      </x:c>
      <x:c r="F37" s="14" t="str">
        <x:v>prompt_tr_v0.1</x:v>
      </x:c>
      <x:c r="G37" s="14" t="str">
        <x:v>Türkiye'de güllaç geleneksel olarak hangi ayla özdeşleşir?</x:v>
      </x:c>
      <x:c r="H37" s="14" t="str">
        <x:v>Aşağıdaki soruyu mümkün olduğunca kısa yanıtlayın. Yalnızca cevabı yazın; açıklama, gerekçe veya ek bilgi vermeyin. Cevabı bilmiyorsanız yalnızca “Bilmiyorum” yazın.
Soru: Türkiye'de güllaç geleneksel olarak hangi ayla özdeşleşir?
Cevap:</x:v>
      </x:c>
    </x:row>
    <x:row r="38" ht="55.5" customHeight="1">
      <x:c r="A38" s="14" t="str">
        <x:v>PILOT-M1-D035</x:v>
      </x:c>
      <x:c r="B38" s="14" t="str">
        <x:v>M1</x:v>
      </x:c>
      <x:c r="C38" s="14" t="str">
        <x:v>gpt-5.5-2026-04-23</x:v>
      </x:c>
      <x:c r="D38" s="14" t="str">
        <x:v>D035</x:v>
      </x:c>
      <x:c r="E38" s="14" t="str">
        <x:v>F010</x:v>
      </x:c>
      <x:c r="F38" s="14" t="str">
        <x:v>prompt_tr_v0.1</x:v>
      </x:c>
      <x:c r="G38" s="14" t="str">
        <x:v>Afyon Sucuğunda manda etinin asgari oranı yüzde kaçtır?</x:v>
      </x:c>
      <x:c r="H38" s="14" t="str">
        <x:v>Aşağıdaki soruyu mümkün olduğunca kısa yanıtlayın. Yalnızca cevabı yazın; açıklama, gerekçe veya ek bilgi vermeyin. Cevabı bilmiyorsanız yalnızca “Bilmiyorum” yazın.
Soru: Afyon Sucuğunda manda etinin asgari oranı yüzde kaçtır?
Cevap:</x:v>
      </x:c>
    </x:row>
    <x:row r="39" ht="55.5" customHeight="1">
      <x:c r="A39" s="14" t="str">
        <x:v>PILOT-M1-D036</x:v>
      </x:c>
      <x:c r="B39" s="14" t="str">
        <x:v>M1</x:v>
      </x:c>
      <x:c r="C39" s="14" t="str">
        <x:v>gpt-5.5-2026-04-23</x:v>
      </x:c>
      <x:c r="D39" s="14" t="str">
        <x:v>D036</x:v>
      </x:c>
      <x:c r="E39" s="14" t="str">
        <x:v>F088</x:v>
      </x:c>
      <x:c r="F39" s="14" t="str">
        <x:v>prompt_tr_v0.1</x:v>
      </x:c>
      <x:c r="G39" s="14" t="str">
        <x:v>Törensel Keşkek hazırlığında buğday taş havanda kaç kişi tarafından dövülür?</x:v>
      </x:c>
      <x:c r="H39" s="14" t="str">
        <x:v>Aşağıdaki soruyu mümkün olduğunca kısa yanıtlayın. Yalnızca cevabı yazın; açıklama, gerekçe veya ek bilgi vermeyin. Cevabı bilmiyorsanız yalnızca “Bilmiyorum” yazın.
Soru: Törensel Keşkek hazırlığında buğday taş havanda kaç kişi tarafından dövülür?
Cevap:</x:v>
      </x:c>
    </x:row>
    <x:row r="40" ht="55.5" customHeight="1">
      <x:c r="A40" s="14" t="str">
        <x:v>PILOT-M2-D001</x:v>
      </x:c>
      <x:c r="B40" s="14" t="str">
        <x:v>M2</x:v>
      </x:c>
      <x:c r="C40" s="14" t="str">
        <x:v>openai/gpt-oss-120b</x:v>
      </x:c>
      <x:c r="D40" s="14" t="str">
        <x:v>D001</x:v>
      </x:c>
      <x:c r="E40" s="14" t="str">
        <x:v>F014</x:v>
      </x:c>
      <x:c r="F40" s="14" t="str">
        <x:v>prompt_tr_v0.1</x:v>
      </x:c>
      <x:c r="G40" s="14" t="str">
        <x:v>Adana Kebabı için et geleneksel olarak hangi araçla kıyılır?</x:v>
      </x:c>
      <x:c r="H40" s="14" t="str">
        <x:v>Aşağıdaki soruyu mümkün olduğunca kısa yanıtlayın. Yalnızca cevabı yazın; açıklama, gerekçe veya ek bilgi vermeyin. Cevabı bilmiyorsanız yalnızca “Bilmiyorum” yazın.
Soru: Adana Kebabı için et geleneksel olarak hangi araçla kıyılır?
Cevap:</x:v>
      </x:c>
    </x:row>
    <x:row r="41" ht="55.5" customHeight="1">
      <x:c r="A41" s="14" t="str">
        <x:v>PILOT-M2-D002</x:v>
      </x:c>
      <x:c r="B41" s="14" t="str">
        <x:v>M2</x:v>
      </x:c>
      <x:c r="C41" s="14" t="str">
        <x:v>openai/gpt-oss-120b</x:v>
      </x:c>
      <x:c r="D41" s="14" t="str">
        <x:v>D002</x:v>
      </x:c>
      <x:c r="E41" s="14" t="str">
        <x:v>F017</x:v>
      </x:c>
      <x:c r="F41" s="14" t="str">
        <x:v>prompt_tr_v0.1</x:v>
      </x:c>
      <x:c r="G41" s="14" t="str">
        <x:v>Maraş Tarhanasının kurutulmak üzere serildiği geleneksel hasır örtüye ne ad verilir?</x:v>
      </x:c>
      <x:c r="H41" s="14" t="str">
        <x:v>Aşağıdaki soruyu mümkün olduğunca kısa yanıtlayın. Yalnızca cevabı yazın; açıklama, gerekçe veya ek bilgi vermeyin. Cevabı bilmiyorsanız yalnızca “Bilmiyorum” yazın.
Soru: Maraş Tarhanasının kurutulmak üzere serildiği geleneksel hasır örtüye ne ad verilir?
Cevap:</x:v>
      </x:c>
    </x:row>
    <x:row r="42" ht="55.5" customHeight="1">
      <x:c r="A42" s="14" t="str">
        <x:v>PILOT-M2-D003</x:v>
      </x:c>
      <x:c r="B42" s="14" t="str">
        <x:v>M2</x:v>
      </x:c>
      <x:c r="C42" s="14" t="str">
        <x:v>openai/gpt-oss-120b</x:v>
      </x:c>
      <x:c r="D42" s="14" t="str">
        <x:v>D003</x:v>
      </x:c>
      <x:c r="E42" s="14" t="str">
        <x:v>F019</x:v>
      </x:c>
      <x:c r="F42" s="14" t="str">
        <x:v>prompt_tr_v0.1</x:v>
      </x:c>
      <x:c r="G42" s="14" t="str">
        <x:v>UNESCO tanımına göre Türk kahvesi hazırlanırken öğütülmüş kahveye başlangıçta hangi sıcaklıktaki su eklenir?</x:v>
      </x:c>
      <x:c r="H42" s="14" t="str">
        <x:v>Aşağıdaki soruyu mümkün olduğunca kısa yanıtlayın. Yalnızca cevabı yazın; açıklama, gerekçe veya ek bilgi vermeyin. Cevabı bilmiyorsanız yalnızca “Bilmiyorum” yazın.
Soru: UNESCO tanımına göre Türk kahvesi hazırlanırken öğütülmüş kahveye başlangıçta hangi sıcaklıktaki su eklenir?
Cevap:</x:v>
      </x:c>
    </x:row>
    <x:row r="43" ht="55.5" customHeight="1">
      <x:c r="A43" s="14" t="str">
        <x:v>PILOT-M2-D004</x:v>
      </x:c>
      <x:c r="B43" s="14" t="str">
        <x:v>M2</x:v>
      </x:c>
      <x:c r="C43" s="14" t="str">
        <x:v>openai/gpt-oss-120b</x:v>
      </x:c>
      <x:c r="D43" s="14" t="str">
        <x:v>D004</x:v>
      </x:c>
      <x:c r="E43" s="14" t="str">
        <x:v>F028</x:v>
      </x:c>
      <x:c r="F43" s="14" t="str">
        <x:v>prompt_tr_v0.1</x:v>
      </x:c>
      <x:c r="G43" s="14" t="str">
        <x:v>UNESCO'ya göre Türk kahvesine geleneksel olarak hangi içecek eşlik eder?</x:v>
      </x:c>
      <x:c r="H43" s="14" t="str">
        <x:v>Aşağıdaki soruyu mümkün olduğunca kısa yanıtlayın. Yalnızca cevabı yazın; açıklama, gerekçe veya ek bilgi vermeyin. Cevabı bilmiyorsanız yalnızca “Bilmiyorum” yazın.
Soru: UNESCO'ya göre Türk kahvesine geleneksel olarak hangi içecek eşlik eder?
Cevap:</x:v>
      </x:c>
    </x:row>
    <x:row r="44" ht="55.5" customHeight="1">
      <x:c r="A44" s="14" t="str">
        <x:v>PILOT-M2-D005</x:v>
      </x:c>
      <x:c r="B44" s="14" t="str">
        <x:v>M2</x:v>
      </x:c>
      <x:c r="C44" s="14" t="str">
        <x:v>openai/gpt-oss-120b</x:v>
      </x:c>
      <x:c r="D44" s="14" t="str">
        <x:v>D005</x:v>
      </x:c>
      <x:c r="E44" s="14" t="str">
        <x:v>F056</x:v>
      </x:c>
      <x:c r="F44" s="14" t="str">
        <x:v>prompt_tr_v0.1</x:v>
      </x:c>
      <x:c r="G44" s="14" t="str">
        <x:v>Antalya Piyazını diğer piyazlardan ayıran karakteristik sos nedir?</x:v>
      </x:c>
      <x:c r="H44" s="14" t="str">
        <x:v>Aşağıdaki soruyu mümkün olduğunca kısa yanıtlayın. Yalnızca cevabı yazın; açıklama, gerekçe veya ek bilgi vermeyin. Cevabı bilmiyorsanız yalnızca “Bilmiyorum” yazın.
Soru: Antalya Piyazını diğer piyazlardan ayıran karakteristik sos nedir?
Cevap:</x:v>
      </x:c>
    </x:row>
    <x:row r="45" ht="55.5" customHeight="1">
      <x:c r="A45" s="14" t="str">
        <x:v>PILOT-M2-D006</x:v>
      </x:c>
      <x:c r="B45" s="14" t="str">
        <x:v>M2</x:v>
      </x:c>
      <x:c r="C45" s="14" t="str">
        <x:v>openai/gpt-oss-120b</x:v>
      </x:c>
      <x:c r="D45" s="14" t="str">
        <x:v>D006</x:v>
      </x:c>
      <x:c r="E45" s="14" t="str">
        <x:v>F060</x:v>
      </x:c>
      <x:c r="F45" s="14" t="str">
        <x:v>prompt_tr_v0.1</x:v>
      </x:c>
      <x:c r="G45" s="14" t="str">
        <x:v>Tarsus Humusunda pişmiş nohut geleneksel olarak hangi araçla ezilir?</x:v>
      </x:c>
      <x:c r="H45" s="14" t="str">
        <x:v>Aşağıdaki soruyu mümkün olduğunca kısa yanıtlayın. Yalnızca cevabı yazın; açıklama, gerekçe veya ek bilgi vermeyin. Cevabı bilmiyorsanız yalnızca “Bilmiyorum” yazın.
Soru: Tarsus Humusunda pişmiş nohut geleneksel olarak hangi araçla ezilir?
Cevap:</x:v>
      </x:c>
    </x:row>
    <x:row r="46" ht="55.5" customHeight="1">
      <x:c r="A46" s="14" t="str">
        <x:v>PILOT-M2-D007</x:v>
      </x:c>
      <x:c r="B46" s="14" t="str">
        <x:v>M2</x:v>
      </x:c>
      <x:c r="C46" s="14" t="str">
        <x:v>openai/gpt-oss-120b</x:v>
      </x:c>
      <x:c r="D46" s="14" t="str">
        <x:v>D007</x:v>
      </x:c>
      <x:c r="E46" s="14" t="str">
        <x:v>F065</x:v>
      </x:c>
      <x:c r="F46" s="14" t="str">
        <x:v>prompt_tr_v0.1</x:v>
      </x:c>
      <x:c r="G46" s="14" t="str">
        <x:v>Erzincan Kesme Kadayıfında yufka katlarının arasına hangi kuruyemiş konur?</x:v>
      </x:c>
      <x:c r="H46" s="14" t="str">
        <x:v>Aşağıdaki soruyu mümkün olduğunca kısa yanıtlayın. Yalnızca cevabı yazın; açıklama, gerekçe veya ek bilgi vermeyin. Cevabı bilmiyorsanız yalnızca “Bilmiyorum” yazın.
Soru: Erzincan Kesme Kadayıfında yufka katlarının arasına hangi kuruyemiş konur?
Cevap:</x:v>
      </x:c>
    </x:row>
    <x:row r="47" ht="55.5" customHeight="1">
      <x:c r="A47" s="14" t="str">
        <x:v>PILOT-M2-D008</x:v>
      </x:c>
      <x:c r="B47" s="14" t="str">
        <x:v>M2</x:v>
      </x:c>
      <x:c r="C47" s="14" t="str">
        <x:v>openai/gpt-oss-120b</x:v>
      </x:c>
      <x:c r="D47" s="14" t="str">
        <x:v>D008</x:v>
      </x:c>
      <x:c r="E47" s="14" t="str">
        <x:v>F068</x:v>
      </x:c>
      <x:c r="F47" s="14" t="str">
        <x:v>prompt_tr_v0.1</x:v>
      </x:c>
      <x:c r="G47" s="14" t="str">
        <x:v>Diyarbakır Kaburga Dolmasının pirinçli iç harcında hangi kuruyemiş kullanılır?</x:v>
      </x:c>
      <x:c r="H47" s="14" t="str">
        <x:v>Aşağıdaki soruyu mümkün olduğunca kısa yanıtlayın. Yalnızca cevabı yazın; açıklama, gerekçe veya ek bilgi vermeyin. Cevabı bilmiyorsanız yalnızca “Bilmiyorum” yazın.
Soru: Diyarbakır Kaburga Dolmasının pirinçli iç harcında hangi kuruyemiş kullanılır?
Cevap:</x:v>
      </x:c>
    </x:row>
    <x:row r="48" ht="55.5" customHeight="1">
      <x:c r="A48" s="14" t="str">
        <x:v>PILOT-M2-D009</x:v>
      </x:c>
      <x:c r="B48" s="14" t="str">
        <x:v>M2</x:v>
      </x:c>
      <x:c r="C48" s="14" t="str">
        <x:v>openai/gpt-oss-120b</x:v>
      </x:c>
      <x:c r="D48" s="14" t="str">
        <x:v>D009</x:v>
      </x:c>
      <x:c r="E48" s="14" t="str">
        <x:v>F009</x:v>
      </x:c>
      <x:c r="F48" s="14" t="str">
        <x:v>prompt_tr_v0.1</x:v>
      </x:c>
      <x:c r="G48" s="14" t="str">
        <x:v>Maraş Tarhanasının iki temel bileşeni nedir?</x:v>
      </x:c>
      <x:c r="H48" s="14" t="str">
        <x:v>Aşağıdaki soruyu mümkün olduğunca kısa yanıtlayın. Yalnızca cevabı yazın; açıklama, gerekçe veya ek bilgi vermeyin. Cevabı bilmiyorsanız yalnızca “Bilmiyorum” yazın.
Soru: Maraş Tarhanasının iki temel bileşeni nedir?
Cevap:</x:v>
      </x:c>
    </x:row>
    <x:row r="49" ht="55.5" customHeight="1">
      <x:c r="A49" s="14" t="str">
        <x:v>PILOT-M2-D010</x:v>
      </x:c>
      <x:c r="B49" s="14" t="str">
        <x:v>M2</x:v>
      </x:c>
      <x:c r="C49" s="14" t="str">
        <x:v>openai/gpt-oss-120b</x:v>
      </x:c>
      <x:c r="D49" s="14" t="str">
        <x:v>D010</x:v>
      </x:c>
      <x:c r="E49" s="14" t="str">
        <x:v>F031</x:v>
      </x:c>
      <x:c r="F49" s="14" t="str">
        <x:v>prompt_tr_v0.1</x:v>
      </x:c>
      <x:c r="G49" s="14" t="str">
        <x:v>UNESCO tanımına göre çay geleneksel olarak hangi biçimdeki bardaklarda servis edilir?</x:v>
      </x:c>
      <x:c r="H49" s="14" t="str">
        <x:v>Aşağıdaki soruyu mümkün olduğunca kısa yanıtlayın. Yalnızca cevabı yazın; açıklama, gerekçe veya ek bilgi vermeyin. Cevabı bilmiyorsanız yalnızca “Bilmiyorum” yazın.
Soru: UNESCO tanımına göre çay geleneksel olarak hangi biçimdeki bardaklarda servis edilir?
Cevap:</x:v>
      </x:c>
    </x:row>
    <x:row r="50" ht="55.5" customHeight="1">
      <x:c r="A50" s="14" t="str">
        <x:v>PILOT-M2-D011</x:v>
      </x:c>
      <x:c r="B50" s="14" t="str">
        <x:v>M2</x:v>
      </x:c>
      <x:c r="C50" s="14" t="str">
        <x:v>openai/gpt-oss-120b</x:v>
      </x:c>
      <x:c r="D50" s="14" t="str">
        <x:v>D011</x:v>
      </x:c>
      <x:c r="E50" s="14" t="str">
        <x:v>F083</x:v>
      </x:c>
      <x:c r="F50" s="14" t="str">
        <x:v>prompt_tr_v0.1</x:v>
      </x:c>
      <x:c r="G50" s="14" t="str">
        <x:v>UNESCO kaydına göre Türkiye'de düğünlerde yassı ekmek kimlere verilir?</x:v>
      </x:c>
      <x:c r="H50" s="14" t="str">
        <x:v>Aşağıdaki soruyu mümkün olduğunca kısa yanıtlayın. Yalnızca cevabı yazın; açıklama, gerekçe veya ek bilgi vermeyin. Cevabı bilmiyorsanız yalnızca “Bilmiyorum” yazın.
Soru: UNESCO kaydına göre Türkiye'de düğünlerde yassı ekmek kimlere verilir?
Cevap:</x:v>
      </x:c>
    </x:row>
    <x:row r="51" ht="55.5" customHeight="1">
      <x:c r="A51" s="14" t="str">
        <x:v>PILOT-M2-D012</x:v>
      </x:c>
      <x:c r="B51" s="14" t="str">
        <x:v>M2</x:v>
      </x:c>
      <x:c r="C51" s="14" t="str">
        <x:v>openai/gpt-oss-120b</x:v>
      </x:c>
      <x:c r="D51" s="14" t="str">
        <x:v>D012</x:v>
      </x:c>
      <x:c r="E51" s="14" t="str">
        <x:v>F087</x:v>
      </x:c>
      <x:c r="F51" s="14" t="str">
        <x:v>prompt_tr_v0.1</x:v>
      </x:c>
      <x:c r="G51" s="14" t="str">
        <x:v>Törensel Keşkek geleneğinde buğday taşınırken hangi iki çalgı çalınır?</x:v>
      </x:c>
      <x:c r="H51" s="14" t="str">
        <x:v>Aşağıdaki soruyu mümkün olduğunca kısa yanıtlayın. Yalnızca cevabı yazın; açıklama, gerekçe veya ek bilgi vermeyin. Cevabı bilmiyorsanız yalnızca “Bilmiyorum” yazın.
Soru: Törensel Keşkek geleneğinde buğday taşınırken hangi iki çalgı çalınır?
Cevap:</x:v>
      </x:c>
    </x:row>
    <x:row r="52" ht="55.5" customHeight="1">
      <x:c r="A52" s="14" t="str">
        <x:v>PILOT-M2-D013</x:v>
      </x:c>
      <x:c r="B52" s="14" t="str">
        <x:v>M2</x:v>
      </x:c>
      <x:c r="C52" s="14" t="str">
        <x:v>openai/gpt-oss-120b</x:v>
      </x:c>
      <x:c r="D52" s="14" t="str">
        <x:v>D013</x:v>
      </x:c>
      <x:c r="E52" s="14" t="str">
        <x:v>F100</x:v>
      </x:c>
      <x:c r="F52" s="14" t="str">
        <x:v>prompt_tr_v0.1</x:v>
      </x:c>
      <x:c r="G52" s="14" t="str">
        <x:v>Kültür Portalına göre aşurenin temsil ettiği iki temel kavram nedir?</x:v>
      </x:c>
      <x:c r="H52" s="14" t="str">
        <x:v>Aşağıdaki soruyu mümkün olduğunca kısa yanıtlayın. Yalnızca cevabı yazın; açıklama, gerekçe veya ek bilgi vermeyin. Cevabı bilmiyorsanız yalnızca “Bilmiyorum” yazın.
Soru: Kültür Portalına göre aşurenin temsil ettiği iki temel kavram nedir?
Cevap:</x:v>
      </x:c>
    </x:row>
    <x:row r="53" ht="55.5" customHeight="1">
      <x:c r="A53" s="14" t="str">
        <x:v>PILOT-M2-D014</x:v>
      </x:c>
      <x:c r="B53" s="14" t="str">
        <x:v>M2</x:v>
      </x:c>
      <x:c r="C53" s="14" t="str">
        <x:v>openai/gpt-oss-120b</x:v>
      </x:c>
      <x:c r="D53" s="14" t="str">
        <x:v>D014</x:v>
      </x:c>
      <x:c r="E53" s="14" t="str">
        <x:v>F112</x:v>
      </x:c>
      <x:c r="F53" s="14" t="str">
        <x:v>prompt_tr_v0.1</x:v>
      </x:c>
      <x:c r="G53" s="14" t="str">
        <x:v>Tekirdağ'daki Herise geleneğinde düğün için hazırlanan yemekten özellikle hangi iki gruba gönderilir?</x:v>
      </x:c>
      <x:c r="H53" s="14" t="str">
        <x:v>Aşağıdaki soruyu mümkün olduğunca kısa yanıtlayın. Yalnızca cevabı yazın; açıklama, gerekçe veya ek bilgi vermeyin. Cevabı bilmiyorsanız yalnızca “Bilmiyorum” yazın.
Soru: Tekirdağ'daki Herise geleneğinde düğün için hazırlanan yemekten özellikle hangi iki gruba gönderilir?
Cevap:</x:v>
      </x:c>
    </x:row>
    <x:row r="54" ht="55.5" customHeight="1">
      <x:c r="A54" s="14" t="str">
        <x:v>PILOT-M2-D015</x:v>
      </x:c>
      <x:c r="B54" s="14" t="str">
        <x:v>M2</x:v>
      </x:c>
      <x:c r="C54" s="14" t="str">
        <x:v>openai/gpt-oss-120b</x:v>
      </x:c>
      <x:c r="D54" s="14" t="str">
        <x:v>D015</x:v>
      </x:c>
      <x:c r="E54" s="14" t="str">
        <x:v>F059</x:v>
      </x:c>
      <x:c r="F54" s="14" t="str">
        <x:v>prompt_tr_v0.1</x:v>
      </x:c>
      <x:c r="G54" s="14" t="str">
        <x:v>Tarsus Humusunda nohutların ezildiği geleneksel bakır kabın adı nedir?</x:v>
      </x:c>
      <x:c r="H54" s="14" t="str">
        <x:v>Aşağıdaki soruyu mümkün olduğunca kısa yanıtlayın. Yalnızca cevabı yazın; açıklama, gerekçe veya ek bilgi vermeyin. Cevabı bilmiyorsanız yalnızca “Bilmiyorum” yazın.
Soru: Tarsus Humusunda nohutların ezildiği geleneksel bakır kabın adı nedir?
Cevap:</x:v>
      </x:c>
    </x:row>
    <x:row r="55" ht="55.5" customHeight="1">
      <x:c r="A55" s="14" t="str">
        <x:v>PILOT-M2-D016</x:v>
      </x:c>
      <x:c r="B55" s="14" t="str">
        <x:v>M2</x:v>
      </x:c>
      <x:c r="C55" s="14" t="str">
        <x:v>openai/gpt-oss-120b</x:v>
      </x:c>
      <x:c r="D55" s="14" t="str">
        <x:v>D016</x:v>
      </x:c>
      <x:c r="E55" s="14" t="str">
        <x:v>F102</x:v>
      </x:c>
      <x:c r="F55" s="14" t="str">
        <x:v>prompt_tr_v0.1</x:v>
      </x:c>
      <x:c r="G55" s="14" t="str">
        <x:v>İzmir kültüründe lokmanın özel günlerde hazırlanarak halka ücretsiz dağıtılması geleneğine ne ad verilir?</x:v>
      </x:c>
      <x:c r="H55" s="14" t="str">
        <x:v>Aşağıdaki soruyu mümkün olduğunca kısa yanıtlayın. Yalnızca cevabı yazın; açıklama, gerekçe veya ek bilgi vermeyin. Cevabı bilmiyorsanız yalnızca “Bilmiyorum” yazın.
Soru: İzmir kültüründe lokmanın özel günlerde hazırlanarak halka ücretsiz dağıtılması geleneğine ne ad verilir?
Cevap:</x:v>
      </x:c>
    </x:row>
    <x:row r="56" ht="55.5" customHeight="1">
      <x:c r="A56" s="14" t="str">
        <x:v>PILOT-M2-D017</x:v>
      </x:c>
      <x:c r="B56" s="14" t="str">
        <x:v>M2</x:v>
      </x:c>
      <x:c r="C56" s="14" t="str">
        <x:v>openai/gpt-oss-120b</x:v>
      </x:c>
      <x:c r="D56" s="14" t="str">
        <x:v>D017</x:v>
      </x:c>
      <x:c r="E56" s="14" t="str">
        <x:v>F104</x:v>
      </x:c>
      <x:c r="F56" s="14" t="str">
        <x:v>prompt_tr_v0.1</x:v>
      </x:c>
      <x:c r="G56" s="14" t="str">
        <x:v>İzmir'in bazı yörelerinde Sura'nın üzerine sarılan yağlı zar tabakasına verilen geleneksel adlardan biri nedir?</x:v>
      </x:c>
      <x:c r="H56" s="14" t="str">
        <x:v>Aşağıdaki soruyu mümkün olduğunca kısa yanıtlayın. Yalnızca cevabı yazın; açıklama, gerekçe veya ek bilgi vermeyin. Cevabı bilmiyorsanız yalnızca “Bilmiyorum” yazın.
Soru: İzmir'in bazı yörelerinde Sura'nın üzerine sarılan yağlı zar tabakasına verilen geleneksel adlardan biri nedir?
Cevap:</x:v>
      </x:c>
    </x:row>
    <x:row r="57" ht="55.5" customHeight="1">
      <x:c r="A57" s="14" t="str">
        <x:v>PILOT-M2-D018</x:v>
      </x:c>
      <x:c r="B57" s="14" t="str">
        <x:v>M2</x:v>
      </x:c>
      <x:c r="C57" s="14" t="str">
        <x:v>openai/gpt-oss-120b</x:v>
      </x:c>
      <x:c r="D57" s="14" t="str">
        <x:v>D018</x:v>
      </x:c>
      <x:c r="E57" s="14" t="str">
        <x:v>F106</x:v>
      </x:c>
      <x:c r="F57" s="14" t="str">
        <x:v>prompt_tr_v0.1</x:v>
      </x:c>
      <x:c r="G57" s="14" t="str">
        <x:v>İzmir mutfağındaki cibez, Tire civarında hangi adla da bilinir?</x:v>
      </x:c>
      <x:c r="H57" s="14" t="str">
        <x:v>Aşağıdaki soruyu mümkün olduğunca kısa yanıtlayın. Yalnızca cevabı yazın; açıklama, gerekçe veya ek bilgi vermeyin. Cevabı bilmiyorsanız yalnızca “Bilmiyorum” yazın.
Soru: İzmir mutfağındaki cibez, Tire civarında hangi adla da bilinir?
Cevap:</x:v>
      </x:c>
    </x:row>
    <x:row r="58" ht="55.5" customHeight="1">
      <x:c r="A58" s="14" t="str">
        <x:v>PILOT-M2-D019</x:v>
      </x:c>
      <x:c r="B58" s="14" t="str">
        <x:v>M2</x:v>
      </x:c>
      <x:c r="C58" s="14" t="str">
        <x:v>openai/gpt-oss-120b</x:v>
      </x:c>
      <x:c r="D58" s="14" t="str">
        <x:v>D019</x:v>
      </x:c>
      <x:c r="E58" s="14" t="str">
        <x:v>F113</x:v>
      </x:c>
      <x:c r="F58" s="14" t="str">
        <x:v>prompt_tr_v0.1</x:v>
      </x:c>
      <x:c r="G58" s="14" t="str">
        <x:v>Edirne mutfağındaki Kaçamak başka hangi adla bilinir?</x:v>
      </x:c>
      <x:c r="H58" s="14" t="str">
        <x:v>Aşağıdaki soruyu mümkün olduğunca kısa yanıtlayın. Yalnızca cevabı yazın; açıklama, gerekçe veya ek bilgi vermeyin. Cevabı bilmiyorsanız yalnızca “Bilmiyorum” yazın.
Soru: Edirne mutfağındaki Kaçamak başka hangi adla bilinir?
Cevap:</x:v>
      </x:c>
    </x:row>
    <x:row r="59" ht="55.5" customHeight="1">
      <x:c r="A59" s="14" t="str">
        <x:v>PILOT-M2-D020</x:v>
      </x:c>
      <x:c r="B59" s="14" t="str">
        <x:v>M2</x:v>
      </x:c>
      <x:c r="C59" s="14" t="str">
        <x:v>openai/gpt-oss-120b</x:v>
      </x:c>
      <x:c r="D59" s="14" t="str">
        <x:v>D020</x:v>
      </x:c>
      <x:c r="E59" s="14" t="str">
        <x:v>F116</x:v>
      </x:c>
      <x:c r="F59" s="14" t="str">
        <x:v>prompt_tr_v0.1</x:v>
      </x:c>
      <x:c r="G59" s="14" t="str">
        <x:v>Afyonkarahisar'da doğumdan sonra misafirlere ikram edilen sıra yemeklerine ne ad verilir?</x:v>
      </x:c>
      <x:c r="H59" s="14" t="str">
        <x:v>Aşağıdaki soruyu mümkün olduğunca kısa yanıtlayın. Yalnızca cevabı yazın; açıklama, gerekçe veya ek bilgi vermeyin. Cevabı bilmiyorsanız yalnızca “Bilmiyorum” yazın.
Soru: Afyonkarahisar'da doğumdan sonra misafirlere ikram edilen sıra yemeklerine ne ad verilir?
Cevap:</x:v>
      </x:c>
    </x:row>
    <x:row r="60" ht="55.5" customHeight="1">
      <x:c r="A60" s="14" t="str">
        <x:v>PILOT-M2-D021</x:v>
      </x:c>
      <x:c r="B60" s="14" t="str">
        <x:v>M2</x:v>
      </x:c>
      <x:c r="C60" s="14" t="str">
        <x:v>openai/gpt-oss-120b</x:v>
      </x:c>
      <x:c r="D60" s="14" t="str">
        <x:v>D021</x:v>
      </x:c>
      <x:c r="E60" s="14" t="str">
        <x:v>F117</x:v>
      </x:c>
      <x:c r="F60" s="14" t="str">
        <x:v>prompt_tr_v0.1</x:v>
      </x:c>
      <x:c r="G60" s="14" t="str">
        <x:v>Afyonkarahisar'da nişan töreninin ertesi günü yapılan geleneksel yemekli davetin adı nedir?</x:v>
      </x:c>
      <x:c r="H60" s="14" t="str">
        <x:v>Aşağıdaki soruyu mümkün olduğunca kısa yanıtlayın. Yalnızca cevabı yazın; açıklama, gerekçe veya ek bilgi vermeyin. Cevabı bilmiyorsanız yalnızca “Bilmiyorum” yazın.
Soru: Afyonkarahisar'da nişan töreninin ertesi günü yapılan geleneksel yemekli davetin adı nedir?
Cevap:</x:v>
      </x:c>
    </x:row>
    <x:row r="61" ht="55.5" customHeight="1">
      <x:c r="A61" s="14" t="str">
        <x:v>PILOT-M2-D022</x:v>
      </x:c>
      <x:c r="B61" s="14" t="str">
        <x:v>M2</x:v>
      </x:c>
      <x:c r="C61" s="14" t="str">
        <x:v>openai/gpt-oss-120b</x:v>
      </x:c>
      <x:c r="D61" s="14" t="str">
        <x:v>D022</x:v>
      </x:c>
      <x:c r="E61" s="14" t="str">
        <x:v>F118</x:v>
      </x:c>
      <x:c r="F61" s="14" t="str">
        <x:v>prompt_tr_v0.1</x:v>
      </x:c>
      <x:c r="G61" s="14" t="str">
        <x:v>Afyon mutfak kültüründe yer alan sıra yemeğinde, yemeklerin sofraya geliş sırasını düzenleme işine ne ad verilir?</x:v>
      </x:c>
      <x:c r="H61" s="14" t="str">
        <x:v>Aşağıdaki soruyu mümkün olduğunca kısa yanıtlayın. Yalnızca cevabı yazın; açıklama, gerekçe veya ek bilgi vermeyin. Cevabı bilmiyorsanız yalnızca “Bilmiyorum” yazın.
Soru: Afyon mutfak kültüründe yer alan sıra yemeğinde, yemeklerin sofraya geliş sırasını düzenleme işine ne ad verilir?
Cevap:</x:v>
      </x:c>
    </x:row>
    <x:row r="62" ht="55.5" customHeight="1">
      <x:c r="A62" s="14" t="str">
        <x:v>PILOT-M2-D023</x:v>
      </x:c>
      <x:c r="B62" s="14" t="str">
        <x:v>M2</x:v>
      </x:c>
      <x:c r="C62" s="14" t="str">
        <x:v>openai/gpt-oss-120b</x:v>
      </x:c>
      <x:c r="D62" s="14" t="str">
        <x:v>D023</x:v>
      </x:c>
      <x:c r="E62" s="14" t="str">
        <x:v>F008</x:v>
      </x:c>
      <x:c r="F62" s="14" t="str">
        <x:v>prompt_tr_v0.1</x:v>
      </x:c>
      <x:c r="G62" s="14" t="str">
        <x:v>Kuru Antep Baklavasında raf ömrünü uzatmak amacıyla kullanılmayan bileşen nedir?</x:v>
      </x:c>
      <x:c r="H62" s="14" t="str">
        <x:v>Aşağıdaki soruyu mümkün olduğunca kısa yanıtlayın. Yalnızca cevabı yazın; açıklama, gerekçe veya ek bilgi vermeyin. Cevabı bilmiyorsanız yalnızca “Bilmiyorum” yazın.
Soru: Kuru Antep Baklavasında raf ömrünü uzatmak amacıyla kullanılmayan bileşen nedir?
Cevap:</x:v>
      </x:c>
    </x:row>
    <x:row r="63" ht="55.5" customHeight="1">
      <x:c r="A63" s="14" t="str">
        <x:v>PILOT-M2-D024</x:v>
      </x:c>
      <x:c r="B63" s="14" t="str">
        <x:v>M2</x:v>
      </x:c>
      <x:c r="C63" s="14" t="str">
        <x:v>openai/gpt-oss-120b</x:v>
      </x:c>
      <x:c r="D63" s="14" t="str">
        <x:v>D024</x:v>
      </x:c>
      <x:c r="E63" s="14" t="str">
        <x:v>F016</x:v>
      </x:c>
      <x:c r="F63" s="14" t="str">
        <x:v>prompt_tr_v0.1</x:v>
      </x:c>
      <x:c r="G63" s="14" t="str">
        <x:v>Maraş Tarhanası üretiminde yoğurt, dövmeye hangi aşamada eklenir?</x:v>
      </x:c>
      <x:c r="H63" s="14" t="str">
        <x:v>Aşağıdaki soruyu mümkün olduğunca kısa yanıtlayın. Yalnızca cevabı yazın; açıklama, gerekçe veya ek bilgi vermeyin. Cevabı bilmiyorsanız yalnızca “Bilmiyorum” yazın.
Soru: Maraş Tarhanası üretiminde yoğurt, dövmeye hangi aşamada eklenir?
Cevap:</x:v>
      </x:c>
    </x:row>
    <x:row r="64" ht="55.5" customHeight="1">
      <x:c r="A64" s="14" t="str">
        <x:v>PILOT-M2-D025</x:v>
      </x:c>
      <x:c r="B64" s="14" t="str">
        <x:v>M2</x:v>
      </x:c>
      <x:c r="C64" s="14" t="str">
        <x:v>openai/gpt-oss-120b</x:v>
      </x:c>
      <x:c r="D64" s="14" t="str">
        <x:v>D025</x:v>
      </x:c>
      <x:c r="E64" s="14" t="str">
        <x:v>F018</x:v>
      </x:c>
      <x:c r="F64" s="14" t="str">
        <x:v>prompt_tr_v0.1</x:v>
      </x:c>
      <x:c r="G64" s="14" t="str">
        <x:v>Afyon Sucuğu hamuru hangi tür bağırsağa doldurulur?</x:v>
      </x:c>
      <x:c r="H64" s="14" t="str">
        <x:v>Aşağıdaki soruyu mümkün olduğunca kısa yanıtlayın. Yalnızca cevabı yazın; açıklama, gerekçe veya ek bilgi vermeyin. Cevabı bilmiyorsanız yalnızca “Bilmiyorum” yazın.
Soru: Afyon Sucuğu hamuru hangi tür bağırsağa doldurulur?
Cevap:</x:v>
      </x:c>
    </x:row>
    <x:row r="65" ht="55.5" customHeight="1">
      <x:c r="A65" s="14" t="str">
        <x:v>PILOT-M2-D026</x:v>
      </x:c>
      <x:c r="B65" s="14" t="str">
        <x:v>M2</x:v>
      </x:c>
      <x:c r="C65" s="14" t="str">
        <x:v>openai/gpt-oss-120b</x:v>
      </x:c>
      <x:c r="D65" s="14" t="str">
        <x:v>D026</x:v>
      </x:c>
      <x:c r="E65" s="14" t="str">
        <x:v>F052</x:v>
      </x:c>
      <x:c r="F65" s="14" t="str">
        <x:v>prompt_tr_v0.1</x:v>
      </x:c>
      <x:c r="G65" s="14" t="str">
        <x:v>Malatya Kâğıt Kebabının taş fırını geleneksel olarak hangi odunla ısıtılır?</x:v>
      </x:c>
      <x:c r="H65" s="14" t="str">
        <x:v>Aşağıdaki soruyu mümkün olduğunca kısa yanıtlayın. Yalnızca cevabı yazın; açıklama, gerekçe veya ek bilgi vermeyin. Cevabı bilmiyorsanız yalnızca “Bilmiyorum” yazın.
Soru: Malatya Kâğıt Kebabının taş fırını geleneksel olarak hangi odunla ısıtılır?
Cevap:</x:v>
      </x:c>
    </x:row>
    <x:row r="66" ht="55.5" customHeight="1">
      <x:c r="A66" s="14" t="str">
        <x:v>PILOT-M2-D027</x:v>
      </x:c>
      <x:c r="B66" s="14" t="str">
        <x:v>M2</x:v>
      </x:c>
      <x:c r="C66" s="14" t="str">
        <x:v>openai/gpt-oss-120b</x:v>
      </x:c>
      <x:c r="D66" s="14" t="str">
        <x:v>D027</x:v>
      </x:c>
      <x:c r="E66" s="14" t="str">
        <x:v>F062</x:v>
      </x:c>
      <x:c r="F66" s="14" t="str">
        <x:v>prompt_tr_v0.1</x:v>
      </x:c>
      <x:c r="G66" s="14" t="str">
        <x:v>Ordu Tostu için üretilen özel ekmek geleneksel olarak hangi yakıtla pişirilir?</x:v>
      </x:c>
      <x:c r="H66" s="14" t="str">
        <x:v>Aşağıdaki soruyu mümkün olduğunca kısa yanıtlayın. Yalnızca cevabı yazın; açıklama, gerekçe veya ek bilgi vermeyin. Cevabı bilmiyorsanız yalnızca “Bilmiyorum” yazın.
Soru: Ordu Tostu için üretilen özel ekmek geleneksel olarak hangi yakıtla pişirilir?
Cevap:</x:v>
      </x:c>
    </x:row>
    <x:row r="67" ht="55.5" customHeight="1">
      <x:c r="A67" s="14" t="str">
        <x:v>PILOT-M2-D028</x:v>
      </x:c>
      <x:c r="B67" s="14" t="str">
        <x:v>M2</x:v>
      </x:c>
      <x:c r="C67" s="14" t="str">
        <x:v>openai/gpt-oss-120b</x:v>
      </x:c>
      <x:c r="D67" s="14" t="str">
        <x:v>D028</x:v>
      </x:c>
      <x:c r="E67" s="14" t="str">
        <x:v>F109</x:v>
      </x:c>
      <x:c r="F67" s="14" t="str">
        <x:v>prompt_tr_v0.1</x:v>
      </x:c>
      <x:c r="G67" s="14" t="str">
        <x:v>Tekirdağ Bulamasında köpük oluşturmak amacıyla kullanılan geleneksel bitkisel bileşen nedir?</x:v>
      </x:c>
      <x:c r="H67" s="14" t="str">
        <x:v>Aşağıdaki soruyu mümkün olduğunca kısa yanıtlayın. Yalnızca cevabı yazın; açıklama, gerekçe veya ek bilgi vermeyin. Cevabı bilmiyorsanız yalnızca “Bilmiyorum” yazın.
Soru: Tekirdağ Bulamasında köpük oluşturmak amacıyla kullanılan geleneksel bitkisel bileşen nedir?
Cevap:</x:v>
      </x:c>
    </x:row>
    <x:row r="68" ht="55.5" customHeight="1">
      <x:c r="A68" s="14" t="str">
        <x:v>PILOT-M2-D029</x:v>
      </x:c>
      <x:c r="B68" s="14" t="str">
        <x:v>M2</x:v>
      </x:c>
      <x:c r="C68" s="14" t="str">
        <x:v>openai/gpt-oss-120b</x:v>
      </x:c>
      <x:c r="D68" s="14" t="str">
        <x:v>D029</x:v>
      </x:c>
      <x:c r="E68" s="14" t="str">
        <x:v>F027</x:v>
      </x:c>
      <x:c r="F68" s="14" t="str">
        <x:v>prompt_tr_v0.1</x:v>
      </x:c>
      <x:c r="G68" s="14" t="str">
        <x:v>Türk kahvesi içildikten sonra fincanda kalan telve geleneksel olarak hangi uygulamada kullanılır?</x:v>
      </x:c>
      <x:c r="H68" s="14" t="str">
        <x:v>Aşağıdaki soruyu mümkün olduğunca kısa yanıtlayın. Yalnızca cevabı yazın; açıklama, gerekçe veya ek bilgi vermeyin. Cevabı bilmiyorsanız yalnızca “Bilmiyorum” yazın.
Soru: Türk kahvesi içildikten sonra fincanda kalan telve geleneksel olarak hangi uygulamada kullanılır?
Cevap:</x:v>
      </x:c>
    </x:row>
    <x:row r="69" ht="55.5" customHeight="1">
      <x:c r="A69" s="14" t="str">
        <x:v>PILOT-M2-D030</x:v>
      </x:c>
      <x:c r="B69" s="14" t="str">
        <x:v>M2</x:v>
      </x:c>
      <x:c r="C69" s="14" t="str">
        <x:v>openai/gpt-oss-120b</x:v>
      </x:c>
      <x:c r="D69" s="14" t="str">
        <x:v>D030</x:v>
      </x:c>
      <x:c r="E69" s="14" t="str">
        <x:v>F036</x:v>
      </x:c>
      <x:c r="F69" s="14" t="str">
        <x:v>prompt_tr_v0.1</x:v>
      </x:c>
      <x:c r="G69" s="14" t="str">
        <x:v>Türkiye ile birlikte Çay Kültürü unsurunu UNESCO'ya ortak kaydettiren ülke hangisidir?</x:v>
      </x:c>
      <x:c r="H69" s="14" t="str">
        <x:v>Aşağıdaki soruyu mümkün olduğunca kısa yanıtlayın. Yalnızca cevabı yazın; açıklama, gerekçe veya ek bilgi vermeyin. Cevabı bilmiyorsanız yalnızca “Bilmiyorum” yazın.
Soru: Türkiye ile birlikte Çay Kültürü unsurunu UNESCO'ya ortak kaydettiren ülke hangisidir?
Cevap:</x:v>
      </x:c>
    </x:row>
    <x:row r="70" ht="55.5" customHeight="1">
      <x:c r="A70" s="14" t="str">
        <x:v>PILOT-M2-D031</x:v>
      </x:c>
      <x:c r="B70" s="14" t="str">
        <x:v>M2</x:v>
      </x:c>
      <x:c r="C70" s="14" t="str">
        <x:v>openai/gpt-oss-120b</x:v>
      </x:c>
      <x:c r="D70" s="14" t="str">
        <x:v>D031</x:v>
      </x:c>
      <x:c r="E70" s="14" t="str">
        <x:v>F084</x:v>
      </x:c>
      <x:c r="F70" s="14" t="str">
        <x:v>prompt_tr_v0.1</x:v>
      </x:c>
      <x:c r="G70" s="14" t="str">
        <x:v>Geleneksel yassı ekmek yapımı aile dışında hangi öğrenme ilişkisiyle aktarılır?</x:v>
      </x:c>
      <x:c r="H70" s="14" t="str">
        <x:v>Aşağıdaki soruyu mümkün olduğunca kısa yanıtlayın. Yalnızca cevabı yazın; açıklama, gerekçe veya ek bilgi vermeyin. Cevabı bilmiyorsanız yalnızca “Bilmiyorum” yazın.
Soru: Geleneksel yassı ekmek yapımı aile dışında hangi öğrenme ilişkisiyle aktarılır?
Cevap:</x:v>
      </x:c>
    </x:row>
    <x:row r="71" ht="55.5" customHeight="1">
      <x:c r="A71" s="14" t="str">
        <x:v>PILOT-M2-D032</x:v>
      </x:c>
      <x:c r="B71" s="14" t="str">
        <x:v>M2</x:v>
      </x:c>
      <x:c r="C71" s="14" t="str">
        <x:v>openai/gpt-oss-120b</x:v>
      </x:c>
      <x:c r="D71" s="14" t="str">
        <x:v>D032</x:v>
      </x:c>
      <x:c r="E71" s="14" t="str">
        <x:v>F085</x:v>
      </x:c>
      <x:c r="F71" s="14" t="str">
        <x:v>prompt_tr_v0.1</x:v>
      </x:c>
      <x:c r="G71" s="14" t="str">
        <x:v>Törensel Keşkek geleneğinde buğday, törenden önceki gün hangi uygulama eşliğinde yıkanır?</x:v>
      </x:c>
      <x:c r="H71" s="14" t="str">
        <x:v>Aşağıdaki soruyu mümkün olduğunca kısa yanıtlayın. Yalnızca cevabı yazın; açıklama, gerekçe veya ek bilgi vermeyin. Cevabı bilmiyorsanız yalnızca “Bilmiyorum” yazın.
Soru: Törensel Keşkek geleneğinde buğday, törenden önceki gün hangi uygulama eşliğinde yıkanır?
Cevap:</x:v>
      </x:c>
    </x:row>
    <x:row r="72" ht="55.5" customHeight="1">
      <x:c r="A72" s="14" t="str">
        <x:v>PILOT-M2-D033</x:v>
      </x:c>
      <x:c r="B72" s="14" t="str">
        <x:v>M2</x:v>
      </x:c>
      <x:c r="C72" s="14" t="str">
        <x:v>openai/gpt-oss-120b</x:v>
      </x:c>
      <x:c r="D72" s="14" t="str">
        <x:v>D033</x:v>
      </x:c>
      <x:c r="E72" s="14" t="str">
        <x:v>F096</x:v>
      </x:c>
      <x:c r="F72" s="14" t="str">
        <x:v>prompt_tr_v0.1</x:v>
      </x:c>
      <x:c r="G72" s="14" t="str">
        <x:v>Mesir Macunu Festivali tarihsel olarak kimin iyileşmesini anar?</x:v>
      </x:c>
      <x:c r="H72" s="14" t="str">
        <x:v>Aşağıdaki soruyu mümkün olduğunca kısa yanıtlayın. Yalnızca cevabı yazın; açıklama, gerekçe veya ek bilgi vermeyin. Cevabı bilmiyorsanız yalnızca “Bilmiyorum” yazın.
Soru: Mesir Macunu Festivali tarihsel olarak kimin iyileşmesini anar?
Cevap:</x:v>
      </x:c>
    </x:row>
    <x:row r="73" ht="55.5" customHeight="1">
      <x:c r="A73" s="14" t="str">
        <x:v>PILOT-M2-D034</x:v>
      </x:c>
      <x:c r="B73" s="14" t="str">
        <x:v>M2</x:v>
      </x:c>
      <x:c r="C73" s="14" t="str">
        <x:v>openai/gpt-oss-120b</x:v>
      </x:c>
      <x:c r="D73" s="14" t="str">
        <x:v>D034</x:v>
      </x:c>
      <x:c r="E73" s="14" t="str">
        <x:v>F101</x:v>
      </x:c>
      <x:c r="F73" s="14" t="str">
        <x:v>prompt_tr_v0.1</x:v>
      </x:c>
      <x:c r="G73" s="14" t="str">
        <x:v>Türkiye'de güllaç geleneksel olarak hangi ayla özdeşleşir?</x:v>
      </x:c>
      <x:c r="H73" s="14" t="str">
        <x:v>Aşağıdaki soruyu mümkün olduğunca kısa yanıtlayın. Yalnızca cevabı yazın; açıklama, gerekçe veya ek bilgi vermeyin. Cevabı bilmiyorsanız yalnızca “Bilmiyorum” yazın.
Soru: Türkiye'de güllaç geleneksel olarak hangi ayla özdeşleşir?
Cevap:</x:v>
      </x:c>
    </x:row>
    <x:row r="74" ht="55.5" customHeight="1">
      <x:c r="A74" s="14" t="str">
        <x:v>PILOT-M2-D035</x:v>
      </x:c>
      <x:c r="B74" s="14" t="str">
        <x:v>M2</x:v>
      </x:c>
      <x:c r="C74" s="14" t="str">
        <x:v>openai/gpt-oss-120b</x:v>
      </x:c>
      <x:c r="D74" s="14" t="str">
        <x:v>D035</x:v>
      </x:c>
      <x:c r="E74" s="14" t="str">
        <x:v>F010</x:v>
      </x:c>
      <x:c r="F74" s="14" t="str">
        <x:v>prompt_tr_v0.1</x:v>
      </x:c>
      <x:c r="G74" s="14" t="str">
        <x:v>Afyon Sucuğunda manda etinin asgari oranı yüzde kaçtır?</x:v>
      </x:c>
      <x:c r="H74" s="14" t="str">
        <x:v>Aşağıdaki soruyu mümkün olduğunca kısa yanıtlayın. Yalnızca cevabı yazın; açıklama, gerekçe veya ek bilgi vermeyin. Cevabı bilmiyorsanız yalnızca “Bilmiyorum” yazın.
Soru: Afyon Sucuğunda manda etinin asgari oranı yüzde kaçtır?
Cevap:</x:v>
      </x:c>
    </x:row>
    <x:row r="75" ht="55.5" customHeight="1">
      <x:c r="A75" s="14" t="str">
        <x:v>PILOT-M2-D036</x:v>
      </x:c>
      <x:c r="B75" s="14" t="str">
        <x:v>M2</x:v>
      </x:c>
      <x:c r="C75" s="14" t="str">
        <x:v>openai/gpt-oss-120b</x:v>
      </x:c>
      <x:c r="D75" s="14" t="str">
        <x:v>D036</x:v>
      </x:c>
      <x:c r="E75" s="14" t="str">
        <x:v>F088</x:v>
      </x:c>
      <x:c r="F75" s="14" t="str">
        <x:v>prompt_tr_v0.1</x:v>
      </x:c>
      <x:c r="G75" s="14" t="str">
        <x:v>Törensel Keşkek hazırlığında buğday taş havanda kaç kişi tarafından dövülür?</x:v>
      </x:c>
      <x:c r="H75" s="14" t="str">
        <x:v>Aşağıdaki soruyu mümkün olduğunca kısa yanıtlayın. Yalnızca cevabı yazın; açıklama, gerekçe veya ek bilgi vermeyin. Cevabı bilmiyorsanız yalnızca “Bilmiyorum” yazın.
Soru: Törensel Keşkek hazırlığında buğday taş havanda kaç kişi tarafından dövülür?
Cevap:</x:v>
      </x:c>
    </x:row>
  </x:sheetData>
  <x:mergeCells>
    <x:mergeCell ref="A1:H1"/>
  </x:mergeCells>
  <x:pageMargins left="0.7" right="0.7" top="0.75" bottom="0.75" header="0.3" footer="0.3"/>
  <x:tableParts count="1">
    <x:tablePart xmlns:r="http://schemas.openxmlformats.org/officeDocument/2006/relationships" r:id="R0245be66cd4f40f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630000114440918" hidden="0" customWidth="1"/>
    <x:col min="2" max="2" width="8.130000114440918" hidden="0" customWidth="1"/>
    <x:col min="3" max="3" width="20.6299991607666" hidden="0" customWidth="1"/>
    <x:col min="4" max="4" width="20.6299991607666" hidden="0" customWidth="1"/>
    <x:col min="5" max="5" width="20.6299991607666" hidden="0" customWidth="1"/>
    <x:col min="6" max="6" width="8.130000114440918" hidden="0" customWidth="1"/>
    <x:col min="7" max="7" width="16.8799991607666" hidden="0" customWidth="1"/>
    <x:col min="8" max="8" width="33.130001068115234" hidden="0" customWidth="1"/>
    <x:col min="9" max="9" width="28.75" hidden="0" customWidth="1"/>
    <x:col min="10" max="10" width="26.25" hidden="0" customWidth="1"/>
    <x:col min="11" max="11" width="10.630000114440918" hidden="0" customWidth="1"/>
    <x:col min="12" max="12" width="11.880000114440918" hidden="0" customWidth="1"/>
    <x:col min="13" max="13" width="10.630000114440918" hidden="0" customWidth="1"/>
    <x:col min="14" max="14" width="20" hidden="0" customWidth="1"/>
    <x:col min="15" max="15" width="16.25" hidden="0" customWidth="1"/>
    <x:col min="16" max="16" width="32.5" hidden="0" customWidth="1"/>
    <x:col min="17" max="17" width="20.6299991607666" hidden="0" customWidth="1"/>
    <x:col min="18" max="18" width="20.6299991607666" hidden="0" customWidth="1"/>
    <x:col min="19" max="19" width="11.25" hidden="0" customWidth="1"/>
    <x:col min="20" max="20" width="10.630000114440918" hidden="0" customWidth="1"/>
    <x:col min="21" max="21" width="13.75" hidden="0" customWidth="1"/>
    <x:col min="22" max="22" width="13.75" hidden="0" customWidth="1"/>
  </x:cols>
  <x:sheetData>
    <x:row r="1" ht="28.5" customHeight="1">
      <x:c r="A1" s="3" t="str">
        <x:v>Pilot Responses and Conservative Scoring</x:v>
      </x:c>
      <x:c r="B1" s="3" t="str">
        <x:v>Pilot Responses and Conservative Scoring</x:v>
      </x:c>
      <x:c r="C1" s="3" t="str">
        <x:v>Pilot Responses and Conservative Scoring</x:v>
      </x:c>
      <x:c r="D1" s="3" t="str">
        <x:v>Pilot Responses and Conservative Scoring</x:v>
      </x:c>
      <x:c r="E1" s="3" t="str">
        <x:v>Pilot Responses and Conservative Scoring</x:v>
      </x:c>
      <x:c r="F1" s="3" t="str">
        <x:v>Pilot Responses and Conservative Scoring</x:v>
      </x:c>
      <x:c r="G1" s="3" t="str">
        <x:v>Pilot Responses and Conservative Scoring</x:v>
      </x:c>
      <x:c r="H1" s="3" t="str">
        <x:v>Pilot Responses and Conservative Scoring</x:v>
      </x:c>
      <x:c r="I1" s="3" t="str">
        <x:v>Pilot Responses and Conservative Scoring</x:v>
      </x:c>
      <x:c r="J1" s="3" t="str">
        <x:v>Pilot Responses and Conservative Scoring</x:v>
      </x:c>
      <x:c r="K1" s="3" t="str">
        <x:v>Pilot Responses and Conservative Scoring</x:v>
      </x:c>
      <x:c r="L1" s="3" t="str">
        <x:v>Pilot Responses and Conservative Scoring</x:v>
      </x:c>
      <x:c r="M1" s="3" t="str">
        <x:v>Pilot Responses and Conservative Scoring</x:v>
      </x:c>
      <x:c r="N1" s="3" t="str">
        <x:v>Pilot Responses and Conservative Scoring</x:v>
      </x:c>
      <x:c r="O1" s="3" t="str">
        <x:v>Pilot Responses and Conservative Scoring</x:v>
      </x:c>
      <x:c r="P1" s="3" t="str">
        <x:v>Pilot Responses and Conservative Scoring</x:v>
      </x:c>
      <x:c r="Q1" s="3" t="str">
        <x:v>Pilot Responses and Conservative Scoring</x:v>
      </x:c>
      <x:c r="R1" s="3" t="str">
        <x:v>Pilot Responses and Conservative Scoring</x:v>
      </x:c>
      <x:c r="S1" s="3" t="str">
        <x:v>Pilot Responses and Conservative Scoring</x:v>
      </x:c>
      <x:c r="T1" s="3" t="str">
        <x:v>Pilot Responses and Conservative Scoring</x:v>
      </x:c>
      <x:c r="U1" s="3" t="str">
        <x:v>Pilot Responses and Conservative Scoring</x:v>
      </x:c>
      <x:c r="V1" s="3" t="str">
        <x:v>Pilot Responses and Conservative Scoring</x:v>
      </x:c>
    </x:row>
    <x:row r="2">
      <x:c r="A2" s="28" t="str">
        <x:v>Import raw/scored records here. Yellow cells require human input. Do not overwrite raw_response or pre-registered accepted_answers.</x:v>
      </x:c>
      <x:c r="B2" s="28" t="str"/>
      <x:c r="C2" s="28" t="str"/>
      <x:c r="D2" s="28" t="str"/>
      <x:c r="E2" s="28" t="str"/>
      <x:c r="F2" s="28" t="str"/>
      <x:c r="G2" s="28" t="str"/>
      <x:c r="H2" s="28" t="str"/>
      <x:c r="I2" s="28" t="str"/>
      <x:c r="J2" s="28" t="str"/>
      <x:c r="K2" s="28" t="str"/>
      <x:c r="L2" s="28" t="str"/>
      <x:c r="M2" s="28" t="str"/>
      <x:c r="N2" s="28" t="str"/>
      <x:c r="O2" s="28" t="str"/>
      <x:c r="P2" s="28" t="str"/>
      <x:c r="Q2" s="28" t="str"/>
      <x:c r="R2" s="28" t="str"/>
      <x:c r="S2" s="28" t="str"/>
      <x:c r="T2" s="28" t="str"/>
      <x:c r="U2" s="28" t="str"/>
      <x:c r="V2" s="28" t="str"/>
    </x:row>
    <x:row r="4">
      <x:c r="A4" s="19" t="str">
        <x:v>run_id</x:v>
      </x:c>
      <x:c r="B4" s="19" t="str">
        <x:v>model_slot</x:v>
      </x:c>
      <x:c r="C4" s="19" t="str">
        <x:v>requested_model_id</x:v>
      </x:c>
      <x:c r="D4" s="19" t="str">
        <x:v>returned_model_id</x:v>
      </x:c>
      <x:c r="E4" s="19" t="str">
        <x:v>request_id</x:v>
      </x:c>
      <x:c r="F4" s="19" t="str">
        <x:v>item_id</x:v>
      </x:c>
      <x:c r="G4" s="19" t="str">
        <x:v>gold_answer</x:v>
      </x:c>
      <x:c r="H4" s="19" t="str">
        <x:v>accepted_answers</x:v>
      </x:c>
      <x:c r="I4" s="19" t="str">
        <x:v>raw_response</x:v>
      </x:c>
      <x:c r="J4" s="19" t="str">
        <x:v>normalized_response</x:v>
      </x:c>
      <x:c r="K4" s="19" t="str">
        <x:v>auto_label</x:v>
      </x:c>
      <x:c r="L4" s="19" t="str">
        <x:v>manual_review</x:v>
      </x:c>
      <x:c r="M4" s="19" t="str">
        <x:v>final_label</x:v>
      </x:c>
      <x:c r="N4" s="19" t="str">
        <x:v>scoring_reason</x:v>
      </x:c>
      <x:c r="O4" s="19" t="str">
        <x:v>issue_type</x:v>
      </x:c>
      <x:c r="P4" s="19" t="str">
        <x:v>reviewer_note</x:v>
      </x:c>
      <x:c r="Q4" s="19" t="str">
        <x:v>started_at_utc</x:v>
      </x:c>
      <x:c r="R4" s="19" t="str">
        <x:v>finished_at_utc</x:v>
      </x:c>
      <x:c r="S4" s="19" t="str">
        <x:v>latency_ms</x:v>
      </x:c>
      <x:c r="T4" s="19" t="str">
        <x:v>status</x:v>
      </x:c>
      <x:c r="U4" s="19" t="str">
        <x:v>prompt_version</x:v>
      </x:c>
      <x:c r="V4" s="19" t="str">
        <x:v>scorer_version</x:v>
      </x:c>
    </x:row>
    <x:row r="5">
      <x:c r="A5" s="14" t="str">
        <x:v>PILOT-M1-D001</x:v>
      </x:c>
      <x:c r="B5" s="14" t="str">
        <x:v>M1</x:v>
      </x:c>
      <x:c r="C5" s="14" t="str">
        <x:v>gpt-5.5-2026-04-23</x:v>
      </x:c>
      <x:c r="D5" s="14" t="str"/>
      <x:c r="E5" s="14" t="str"/>
      <x:c r="F5" s="14" t="str">
        <x:v>D001</x:v>
      </x:c>
      <x:c r="G5" s="14" t="str">
        <x:v>Zırh</x:v>
      </x:c>
      <x:c r="H5" s="14" t="str">
        <x:v>zırh</x:v>
      </x:c>
      <x:c r="I5" s="15" t="str"/>
      <x:c r="J5" s="15" t="str"/>
      <x:c r="K5" s="15" t="str"/>
      <x:c r="L5" s="15" t="str"/>
      <x:c r="M5" s="15" t="str"/>
      <x:c r="N5" s="15" t="str"/>
      <x:c r="O5" s="15" t="str"/>
      <x:c r="P5" s="15" t="str"/>
      <x:c r="Q5" s="14" t="str"/>
      <x:c r="R5" s="14" t="str"/>
      <x:c r="S5" s="14" t="str"/>
      <x:c r="T5" s="14" t="str">
        <x:v>pending</x:v>
      </x:c>
      <x:c r="U5" s="14" t="str">
        <x:v>prompt_tr_v0.1</x:v>
      </x:c>
      <x:c r="V5" s="14" t="str">
        <x:v>scorer_tr_v0.1</x:v>
      </x:c>
    </x:row>
    <x:row r="6">
      <x:c r="A6" s="14" t="str">
        <x:v>PILOT-M1-D002</x:v>
      </x:c>
      <x:c r="B6" s="14" t="str">
        <x:v>M1</x:v>
      </x:c>
      <x:c r="C6" s="14" t="str">
        <x:v>gpt-5.5-2026-04-23</x:v>
      </x:c>
      <x:c r="D6" s="14" t="str"/>
      <x:c r="E6" s="14" t="str"/>
      <x:c r="F6" s="14" t="str">
        <x:v>D002</x:v>
      </x:c>
      <x:c r="G6" s="14" t="str">
        <x:v>Çığ</x:v>
      </x:c>
      <x:c r="H6" s="14" t="str">
        <x:v>çığ</x:v>
      </x:c>
      <x:c r="I6" s="15" t="str"/>
      <x:c r="J6" s="15" t="str"/>
      <x:c r="K6" s="15" t="str"/>
      <x:c r="L6" s="15" t="str"/>
      <x:c r="M6" s="15" t="str"/>
      <x:c r="N6" s="15" t="str"/>
      <x:c r="O6" s="15" t="str"/>
      <x:c r="P6" s="15" t="str"/>
      <x:c r="Q6" s="14" t="str"/>
      <x:c r="R6" s="14" t="str"/>
      <x:c r="S6" s="14" t="str"/>
      <x:c r="T6" s="14" t="str">
        <x:v>pending</x:v>
      </x:c>
      <x:c r="U6" s="14" t="str">
        <x:v>prompt_tr_v0.1</x:v>
      </x:c>
      <x:c r="V6" s="14" t="str">
        <x:v>scorer_tr_v0.1</x:v>
      </x:c>
    </x:row>
    <x:row r="7">
      <x:c r="A7" s="14" t="str">
        <x:v>PILOT-M1-D003</x:v>
      </x:c>
      <x:c r="B7" s="14" t="str">
        <x:v>M1</x:v>
      </x:c>
      <x:c r="C7" s="14" t="str">
        <x:v>gpt-5.5-2026-04-23</x:v>
      </x:c>
      <x:c r="D7" s="14" t="str"/>
      <x:c r="E7" s="14" t="str"/>
      <x:c r="F7" s="14" t="str">
        <x:v>D003</x:v>
      </x:c>
      <x:c r="G7" s="14" t="str">
        <x:v>Soğuk</x:v>
      </x:c>
      <x:c r="H7" s="14" t="str">
        <x:v>soğuk | soğuk su</x:v>
      </x:c>
      <x:c r="I7" s="15" t="str"/>
      <x:c r="J7" s="15" t="str"/>
      <x:c r="K7" s="15" t="str"/>
      <x:c r="L7" s="15" t="str"/>
      <x:c r="M7" s="15" t="str"/>
      <x:c r="N7" s="15" t="str"/>
      <x:c r="O7" s="15" t="str"/>
      <x:c r="P7" s="15" t="str"/>
      <x:c r="Q7" s="14" t="str"/>
      <x:c r="R7" s="14" t="str"/>
      <x:c r="S7" s="14" t="str"/>
      <x:c r="T7" s="14" t="str">
        <x:v>pending</x:v>
      </x:c>
      <x:c r="U7" s="14" t="str">
        <x:v>prompt_tr_v0.1</x:v>
      </x:c>
      <x:c r="V7" s="14" t="str">
        <x:v>scorer_tr_v0.1</x:v>
      </x:c>
    </x:row>
    <x:row r="8">
      <x:c r="A8" s="14" t="str">
        <x:v>PILOT-M1-D004</x:v>
      </x:c>
      <x:c r="B8" s="14" t="str">
        <x:v>M1</x:v>
      </x:c>
      <x:c r="C8" s="14" t="str">
        <x:v>gpt-5.5-2026-04-23</x:v>
      </x:c>
      <x:c r="D8" s="14" t="str"/>
      <x:c r="E8" s="14" t="str"/>
      <x:c r="F8" s="14" t="str">
        <x:v>D004</x:v>
      </x:c>
      <x:c r="G8" s="14" t="str">
        <x:v>Su</x:v>
      </x:c>
      <x:c r="H8" s="14" t="str">
        <x:v>su | bir bardak su</x:v>
      </x:c>
      <x:c r="I8" s="15" t="str"/>
      <x:c r="J8" s="15" t="str"/>
      <x:c r="K8" s="15" t="str"/>
      <x:c r="L8" s="15" t="str"/>
      <x:c r="M8" s="15" t="str"/>
      <x:c r="N8" s="15" t="str"/>
      <x:c r="O8" s="15" t="str"/>
      <x:c r="P8" s="15" t="str"/>
      <x:c r="Q8" s="14" t="str"/>
      <x:c r="R8" s="14" t="str"/>
      <x:c r="S8" s="14" t="str"/>
      <x:c r="T8" s="14" t="str">
        <x:v>pending</x:v>
      </x:c>
      <x:c r="U8" s="14" t="str">
        <x:v>prompt_tr_v0.1</x:v>
      </x:c>
      <x:c r="V8" s="14" t="str">
        <x:v>scorer_tr_v0.1</x:v>
      </x:c>
    </x:row>
    <x:row r="9">
      <x:c r="A9" s="14" t="str">
        <x:v>PILOT-M1-D005</x:v>
      </x:c>
      <x:c r="B9" s="14" t="str">
        <x:v>M1</x:v>
      </x:c>
      <x:c r="C9" s="14" t="str">
        <x:v>gpt-5.5-2026-04-23</x:v>
      </x:c>
      <x:c r="D9" s="14" t="str"/>
      <x:c r="E9" s="14" t="str"/>
      <x:c r="F9" s="14" t="str">
        <x:v>D005</x:v>
      </x:c>
      <x:c r="G9" s="14" t="str">
        <x:v>Tarator</x:v>
      </x:c>
      <x:c r="H9" s="14" t="str">
        <x:v>tarator | tarator sosu</x:v>
      </x:c>
      <x:c r="I9" s="15" t="str"/>
      <x:c r="J9" s="15" t="str"/>
      <x:c r="K9" s="15" t="str"/>
      <x:c r="L9" s="15" t="str"/>
      <x:c r="M9" s="15" t="str"/>
      <x:c r="N9" s="15" t="str"/>
      <x:c r="O9" s="15" t="str"/>
      <x:c r="P9" s="15" t="str"/>
      <x:c r="Q9" s="14" t="str"/>
      <x:c r="R9" s="14" t="str"/>
      <x:c r="S9" s="14" t="str"/>
      <x:c r="T9" s="14" t="str">
        <x:v>pending</x:v>
      </x:c>
      <x:c r="U9" s="14" t="str">
        <x:v>prompt_tr_v0.1</x:v>
      </x:c>
      <x:c r="V9" s="14" t="str">
        <x:v>scorer_tr_v0.1</x:v>
      </x:c>
    </x:row>
    <x:row r="10">
      <x:c r="A10" s="14" t="str">
        <x:v>PILOT-M1-D006</x:v>
      </x:c>
      <x:c r="B10" s="14" t="str">
        <x:v>M1</x:v>
      </x:c>
      <x:c r="C10" s="14" t="str">
        <x:v>gpt-5.5-2026-04-23</x:v>
      </x:c>
      <x:c r="D10" s="14" t="str"/>
      <x:c r="E10" s="14" t="str"/>
      <x:c r="F10" s="14" t="str">
        <x:v>D006</x:v>
      </x:c>
      <x:c r="G10" s="14" t="str">
        <x:v>Tokmak</x:v>
      </x:c>
      <x:c r="H10" s="14" t="str">
        <x:v>tokmak</x:v>
      </x:c>
      <x:c r="I10" s="15" t="str"/>
      <x:c r="J10" s="15" t="str"/>
      <x:c r="K10" s="15" t="str"/>
      <x:c r="L10" s="15" t="str"/>
      <x:c r="M10" s="15" t="str"/>
      <x:c r="N10" s="15" t="str"/>
      <x:c r="O10" s="15" t="str"/>
      <x:c r="P10" s="15" t="str"/>
      <x:c r="Q10" s="14" t="str"/>
      <x:c r="R10" s="14" t="str"/>
      <x:c r="S10" s="14" t="str"/>
      <x:c r="T10" s="14" t="str">
        <x:v>pending</x:v>
      </x:c>
      <x:c r="U10" s="14" t="str">
        <x:v>prompt_tr_v0.1</x:v>
      </x:c>
      <x:c r="V10" s="14" t="str">
        <x:v>scorer_tr_v0.1</x:v>
      </x:c>
    </x:row>
    <x:row r="11">
      <x:c r="A11" s="14" t="str">
        <x:v>PILOT-M1-D007</x:v>
      </x:c>
      <x:c r="B11" s="14" t="str">
        <x:v>M1</x:v>
      </x:c>
      <x:c r="C11" s="14" t="str">
        <x:v>gpt-5.5-2026-04-23</x:v>
      </x:c>
      <x:c r="D11" s="14" t="str"/>
      <x:c r="E11" s="14" t="str"/>
      <x:c r="F11" s="14" t="str">
        <x:v>D007</x:v>
      </x:c>
      <x:c r="G11" s="14" t="str">
        <x:v>Ceviz</x:v>
      </x:c>
      <x:c r="H11" s="14" t="str">
        <x:v>ceviz | ceviz içi</x:v>
      </x:c>
      <x:c r="I11" s="15" t="str"/>
      <x:c r="J11" s="15" t="str"/>
      <x:c r="K11" s="15" t="str"/>
      <x:c r="L11" s="15" t="str"/>
      <x:c r="M11" s="15" t="str"/>
      <x:c r="N11" s="15" t="str"/>
      <x:c r="O11" s="15" t="str"/>
      <x:c r="P11" s="15" t="str"/>
      <x:c r="Q11" s="14" t="str"/>
      <x:c r="R11" s="14" t="str"/>
      <x:c r="S11" s="14" t="str"/>
      <x:c r="T11" s="14" t="str">
        <x:v>pending</x:v>
      </x:c>
      <x:c r="U11" s="14" t="str">
        <x:v>prompt_tr_v0.1</x:v>
      </x:c>
      <x:c r="V11" s="14" t="str">
        <x:v>scorer_tr_v0.1</x:v>
      </x:c>
    </x:row>
    <x:row r="12">
      <x:c r="A12" s="14" t="str">
        <x:v>PILOT-M1-D008</x:v>
      </x:c>
      <x:c r="B12" s="14" t="str">
        <x:v>M1</x:v>
      </x:c>
      <x:c r="C12" s="14" t="str">
        <x:v>gpt-5.5-2026-04-23</x:v>
      </x:c>
      <x:c r="D12" s="14" t="str"/>
      <x:c r="E12" s="14" t="str"/>
      <x:c r="F12" s="14" t="str">
        <x:v>D008</x:v>
      </x:c>
      <x:c r="G12" s="14" t="str">
        <x:v>Badem</x:v>
      </x:c>
      <x:c r="H12" s="14" t="str">
        <x:v>badem | badem içi</x:v>
      </x:c>
      <x:c r="I12" s="15" t="str"/>
      <x:c r="J12" s="15" t="str"/>
      <x:c r="K12" s="15" t="str"/>
      <x:c r="L12" s="15" t="str"/>
      <x:c r="M12" s="15" t="str"/>
      <x:c r="N12" s="15" t="str"/>
      <x:c r="O12" s="15" t="str"/>
      <x:c r="P12" s="15" t="str"/>
      <x:c r="Q12" s="14" t="str"/>
      <x:c r="R12" s="14" t="str"/>
      <x:c r="S12" s="14" t="str"/>
      <x:c r="T12" s="14" t="str">
        <x:v>pending</x:v>
      </x:c>
      <x:c r="U12" s="14" t="str">
        <x:v>prompt_tr_v0.1</x:v>
      </x:c>
      <x:c r="V12" s="14" t="str">
        <x:v>scorer_tr_v0.1</x:v>
      </x:c>
    </x:row>
    <x:row r="13">
      <x:c r="A13" s="14" t="str">
        <x:v>PILOT-M1-D009</x:v>
      </x:c>
      <x:c r="B13" s="14" t="str">
        <x:v>M1</x:v>
      </x:c>
      <x:c r="C13" s="14" t="str">
        <x:v>gpt-5.5-2026-04-23</x:v>
      </x:c>
      <x:c r="D13" s="14" t="str"/>
      <x:c r="E13" s="14" t="str"/>
      <x:c r="F13" s="14" t="str">
        <x:v>D009</x:v>
      </x:c>
      <x:c r="G13" s="14" t="str">
        <x:v>Yoğurt ve dövme</x:v>
      </x:c>
      <x:c r="H13" s="14" t="str">
        <x:v>yoğurt ve dövme | yoğurt ve buğday yarması | yoğurt ile dövme | yoğurt ile buğday yarması</x:v>
      </x:c>
      <x:c r="I13" s="15" t="str"/>
      <x:c r="J13" s="15" t="str"/>
      <x:c r="K13" s="15" t="str"/>
      <x:c r="L13" s="15" t="str"/>
      <x:c r="M13" s="15" t="str"/>
      <x:c r="N13" s="15" t="str"/>
      <x:c r="O13" s="15" t="str"/>
      <x:c r="P13" s="15" t="str"/>
      <x:c r="Q13" s="14" t="str"/>
      <x:c r="R13" s="14" t="str"/>
      <x:c r="S13" s="14" t="str"/>
      <x:c r="T13" s="14" t="str">
        <x:v>pending</x:v>
      </x:c>
      <x:c r="U13" s="14" t="str">
        <x:v>prompt_tr_v0.1</x:v>
      </x:c>
      <x:c r="V13" s="14" t="str">
        <x:v>scorer_tr_v0.1</x:v>
      </x:c>
    </x:row>
    <x:row r="14">
      <x:c r="A14" s="14" t="str">
        <x:v>PILOT-M1-D010</x:v>
      </x:c>
      <x:c r="B14" s="14" t="str">
        <x:v>M1</x:v>
      </x:c>
      <x:c r="C14" s="14" t="str">
        <x:v>gpt-5.5-2026-04-23</x:v>
      </x:c>
      <x:c r="D14" s="14" t="str"/>
      <x:c r="E14" s="14" t="str"/>
      <x:c r="F14" s="14" t="str">
        <x:v>D010</x:v>
      </x:c>
      <x:c r="G14" s="14" t="str">
        <x:v>Armut biçimli bardak</x:v>
      </x:c>
      <x:c r="H14" s="14" t="str">
        <x:v>armut biçimli bardak | armut şeklinde bardak | armut biçimli bardaklar | armut şeklinde bardaklar</x:v>
      </x:c>
      <x:c r="I14" s="15" t="str"/>
      <x:c r="J14" s="15" t="str"/>
      <x:c r="K14" s="15" t="str"/>
      <x:c r="L14" s="15" t="str"/>
      <x:c r="M14" s="15" t="str"/>
      <x:c r="N14" s="15" t="str"/>
      <x:c r="O14" s="15" t="str"/>
      <x:c r="P14" s="15" t="str"/>
      <x:c r="Q14" s="14" t="str"/>
      <x:c r="R14" s="14" t="str"/>
      <x:c r="S14" s="14" t="str"/>
      <x:c r="T14" s="14" t="str">
        <x:v>pending</x:v>
      </x:c>
      <x:c r="U14" s="14" t="str">
        <x:v>prompt_tr_v0.1</x:v>
      </x:c>
      <x:c r="V14" s="14" t="str">
        <x:v>scorer_tr_v0.1</x:v>
      </x:c>
    </x:row>
    <x:row r="15">
      <x:c r="A15" s="14" t="str">
        <x:v>PILOT-M1-D011</x:v>
      </x:c>
      <x:c r="B15" s="14" t="str">
        <x:v>M1</x:v>
      </x:c>
      <x:c r="C15" s="14" t="str">
        <x:v>gpt-5.5-2026-04-23</x:v>
      </x:c>
      <x:c r="D15" s="14" t="str"/>
      <x:c r="E15" s="14" t="str"/>
      <x:c r="F15" s="14" t="str">
        <x:v>D011</x:v>
      </x:c>
      <x:c r="G15" s="14" t="str">
        <x:v>Çiftin komşularına</x:v>
      </x:c>
      <x:c r="H15" s="14" t="str">
        <x:v>çiftin komşularına | yeni evli çiftin komşularına | komşulara</x:v>
      </x:c>
      <x:c r="I15" s="15" t="str"/>
      <x:c r="J15" s="15" t="str"/>
      <x:c r="K15" s="15" t="str"/>
      <x:c r="L15" s="15" t="str"/>
      <x:c r="M15" s="15" t="str"/>
      <x:c r="N15" s="15" t="str"/>
      <x:c r="O15" s="15" t="str"/>
      <x:c r="P15" s="15" t="str"/>
      <x:c r="Q15" s="14" t="str"/>
      <x:c r="R15" s="14" t="str"/>
      <x:c r="S15" s="14" t="str"/>
      <x:c r="T15" s="14" t="str">
        <x:v>pending</x:v>
      </x:c>
      <x:c r="U15" s="14" t="str">
        <x:v>prompt_tr_v0.1</x:v>
      </x:c>
      <x:c r="V15" s="14" t="str">
        <x:v>scorer_tr_v0.1</x:v>
      </x:c>
    </x:row>
    <x:row r="16">
      <x:c r="A16" s="14" t="str">
        <x:v>PILOT-M1-D012</x:v>
      </x:c>
      <x:c r="B16" s="14" t="str">
        <x:v>M1</x:v>
      </x:c>
      <x:c r="C16" s="14" t="str">
        <x:v>gpt-5.5-2026-04-23</x:v>
      </x:c>
      <x:c r="D16" s="14" t="str"/>
      <x:c r="E16" s="14" t="str"/>
      <x:c r="F16" s="14" t="str">
        <x:v>D012</x:v>
      </x:c>
      <x:c r="G16" s="14" t="str">
        <x:v>Davul ve zurna</x:v>
      </x:c>
      <x:c r="H16" s="14" t="str">
        <x:v>davul ve zurna | zurna ve davul</x:v>
      </x:c>
      <x:c r="I16" s="15" t="str"/>
      <x:c r="J16" s="15" t="str"/>
      <x:c r="K16" s="15" t="str"/>
      <x:c r="L16" s="15" t="str"/>
      <x:c r="M16" s="15" t="str"/>
      <x:c r="N16" s="15" t="str"/>
      <x:c r="O16" s="15" t="str"/>
      <x:c r="P16" s="15" t="str"/>
      <x:c r="Q16" s="14" t="str"/>
      <x:c r="R16" s="14" t="str"/>
      <x:c r="S16" s="14" t="str"/>
      <x:c r="T16" s="14" t="str">
        <x:v>pending</x:v>
      </x:c>
      <x:c r="U16" s="14" t="str">
        <x:v>prompt_tr_v0.1</x:v>
      </x:c>
      <x:c r="V16" s="14" t="str">
        <x:v>scorer_tr_v0.1</x:v>
      </x:c>
    </x:row>
    <x:row r="17">
      <x:c r="A17" s="14" t="str">
        <x:v>PILOT-M1-D013</x:v>
      </x:c>
      <x:c r="B17" s="14" t="str">
        <x:v>M1</x:v>
      </x:c>
      <x:c r="C17" s="14" t="str">
        <x:v>gpt-5.5-2026-04-23</x:v>
      </x:c>
      <x:c r="D17" s="14" t="str"/>
      <x:c r="E17" s="14" t="str"/>
      <x:c r="F17" s="14" t="str">
        <x:v>D013</x:v>
      </x:c>
      <x:c r="G17" s="14" t="str">
        <x:v>Bolluk ve bereket</x:v>
      </x:c>
      <x:c r="H17" s="14" t="str">
        <x:v>bolluk ve bereket | bereket ve bolluk</x:v>
      </x:c>
      <x:c r="I17" s="15" t="str"/>
      <x:c r="J17" s="15" t="str"/>
      <x:c r="K17" s="15" t="str"/>
      <x:c r="L17" s="15" t="str"/>
      <x:c r="M17" s="15" t="str"/>
      <x:c r="N17" s="15" t="str"/>
      <x:c r="O17" s="15" t="str"/>
      <x:c r="P17" s="15" t="str"/>
      <x:c r="Q17" s="14" t="str"/>
      <x:c r="R17" s="14" t="str"/>
      <x:c r="S17" s="14" t="str"/>
      <x:c r="T17" s="14" t="str">
        <x:v>pending</x:v>
      </x:c>
      <x:c r="U17" s="14" t="str">
        <x:v>prompt_tr_v0.1</x:v>
      </x:c>
      <x:c r="V17" s="14" t="str">
        <x:v>scorer_tr_v0.1</x:v>
      </x:c>
    </x:row>
    <x:row r="18">
      <x:c r="A18" s="14" t="str">
        <x:v>PILOT-M1-D014</x:v>
      </x:c>
      <x:c r="B18" s="14" t="str">
        <x:v>M1</x:v>
      </x:c>
      <x:c r="C18" s="14" t="str">
        <x:v>gpt-5.5-2026-04-23</x:v>
      </x:c>
      <x:c r="D18" s="14" t="str"/>
      <x:c r="E18" s="14" t="str"/>
      <x:c r="F18" s="14" t="str">
        <x:v>D014</x:v>
      </x:c>
      <x:c r="G18" s="14" t="str">
        <x:v>Hasta ve yaşlılar</x:v>
      </x:c>
      <x:c r="H18" s="14" t="str">
        <x:v>hasta ve yaşlılar | yaşlı ve hastalar | hastalara ve yaşlılara | yaşlılara ve hastalara</x:v>
      </x:c>
      <x:c r="I18" s="15" t="str"/>
      <x:c r="J18" s="15" t="str"/>
      <x:c r="K18" s="15" t="str"/>
      <x:c r="L18" s="15" t="str"/>
      <x:c r="M18" s="15" t="str"/>
      <x:c r="N18" s="15" t="str"/>
      <x:c r="O18" s="15" t="str"/>
      <x:c r="P18" s="15" t="str"/>
      <x:c r="Q18" s="14" t="str"/>
      <x:c r="R18" s="14" t="str"/>
      <x:c r="S18" s="14" t="str"/>
      <x:c r="T18" s="14" t="str">
        <x:v>pending</x:v>
      </x:c>
      <x:c r="U18" s="14" t="str">
        <x:v>prompt_tr_v0.1</x:v>
      </x:c>
      <x:c r="V18" s="14" t="str">
        <x:v>scorer_tr_v0.1</x:v>
      </x:c>
    </x:row>
    <x:row r="19">
      <x:c r="A19" s="14" t="str">
        <x:v>PILOT-M1-D015</x:v>
      </x:c>
      <x:c r="B19" s="14" t="str">
        <x:v>M1</x:v>
      </x:c>
      <x:c r="C19" s="14" t="str">
        <x:v>gpt-5.5-2026-04-23</x:v>
      </x:c>
      <x:c r="D19" s="14" t="str"/>
      <x:c r="E19" s="14" t="str"/>
      <x:c r="F19" s="14" t="str">
        <x:v>D015</x:v>
      </x:c>
      <x:c r="G19" s="14" t="str">
        <x:v>Humus Tası</x:v>
      </x:c>
      <x:c r="H19" s="14" t="str">
        <x:v>humus tası | humus tasi</x:v>
      </x:c>
      <x:c r="I19" s="15" t="str"/>
      <x:c r="J19" s="15" t="str"/>
      <x:c r="K19" s="15" t="str"/>
      <x:c r="L19" s="15" t="str"/>
      <x:c r="M19" s="15" t="str"/>
      <x:c r="N19" s="15" t="str"/>
      <x:c r="O19" s="15" t="str"/>
      <x:c r="P19" s="15" t="str"/>
      <x:c r="Q19" s="14" t="str"/>
      <x:c r="R19" s="14" t="str"/>
      <x:c r="S19" s="14" t="str"/>
      <x:c r="T19" s="14" t="str">
        <x:v>pending</x:v>
      </x:c>
      <x:c r="U19" s="14" t="str">
        <x:v>prompt_tr_v0.1</x:v>
      </x:c>
      <x:c r="V19" s="14" t="str">
        <x:v>scorer_tr_v0.1</x:v>
      </x:c>
    </x:row>
    <x:row r="20">
      <x:c r="A20" s="14" t="str">
        <x:v>PILOT-M1-D016</x:v>
      </x:c>
      <x:c r="B20" s="14" t="str">
        <x:v>M1</x:v>
      </x:c>
      <x:c r="C20" s="14" t="str">
        <x:v>gpt-5.5-2026-04-23</x:v>
      </x:c>
      <x:c r="D20" s="14" t="str"/>
      <x:c r="E20" s="14" t="str"/>
      <x:c r="F20" s="14" t="str">
        <x:v>D016</x:v>
      </x:c>
      <x:c r="G20" s="14" t="str">
        <x:v>Lokma dökmek</x:v>
      </x:c>
      <x:c r="H20" s="14" t="str">
        <x:v>lokma dökmek | lokma döktürmek</x:v>
      </x:c>
      <x:c r="I20" s="15" t="str"/>
      <x:c r="J20" s="15" t="str"/>
      <x:c r="K20" s="15" t="str"/>
      <x:c r="L20" s="15" t="str"/>
      <x:c r="M20" s="15" t="str"/>
      <x:c r="N20" s="15" t="str"/>
      <x:c r="O20" s="15" t="str"/>
      <x:c r="P20" s="15" t="str"/>
      <x:c r="Q20" s="14" t="str"/>
      <x:c r="R20" s="14" t="str"/>
      <x:c r="S20" s="14" t="str"/>
      <x:c r="T20" s="14" t="str">
        <x:v>pending</x:v>
      </x:c>
      <x:c r="U20" s="14" t="str">
        <x:v>prompt_tr_v0.1</x:v>
      </x:c>
      <x:c r="V20" s="14" t="str">
        <x:v>scorer_tr_v0.1</x:v>
      </x:c>
    </x:row>
    <x:row r="21">
      <x:c r="A21" s="14" t="str">
        <x:v>PILOT-M1-D017</x:v>
      </x:c>
      <x:c r="B21" s="14" t="str">
        <x:v>M1</x:v>
      </x:c>
      <x:c r="C21" s="14" t="str">
        <x:v>gpt-5.5-2026-04-23</x:v>
      </x:c>
      <x:c r="D21" s="14" t="str"/>
      <x:c r="E21" s="14" t="str"/>
      <x:c r="F21" s="14" t="str">
        <x:v>D017</x:v>
      </x:c>
      <x:c r="G21" s="14" t="str">
        <x:v>Gömlek</x:v>
      </x:c>
      <x:c r="H21" s="14" t="str">
        <x:v>gömlek | çember</x:v>
      </x:c>
      <x:c r="I21" s="15" t="str"/>
      <x:c r="J21" s="15" t="str"/>
      <x:c r="K21" s="15" t="str"/>
      <x:c r="L21" s="15" t="str"/>
      <x:c r="M21" s="15" t="str"/>
      <x:c r="N21" s="15" t="str"/>
      <x:c r="O21" s="15" t="str"/>
      <x:c r="P21" s="15" t="str"/>
      <x:c r="Q21" s="14" t="str"/>
      <x:c r="R21" s="14" t="str"/>
      <x:c r="S21" s="14" t="str"/>
      <x:c r="T21" s="14" t="str">
        <x:v>pending</x:v>
      </x:c>
      <x:c r="U21" s="14" t="str">
        <x:v>prompt_tr_v0.1</x:v>
      </x:c>
      <x:c r="V21" s="14" t="str">
        <x:v>scorer_tr_v0.1</x:v>
      </x:c>
    </x:row>
    <x:row r="22">
      <x:c r="A22" s="14" t="str">
        <x:v>PILOT-M1-D018</x:v>
      </x:c>
      <x:c r="B22" s="14" t="str">
        <x:v>M1</x:v>
      </x:c>
      <x:c r="C22" s="14" t="str">
        <x:v>gpt-5.5-2026-04-23</x:v>
      </x:c>
      <x:c r="D22" s="14" t="str"/>
      <x:c r="E22" s="14" t="str"/>
      <x:c r="F22" s="14" t="str">
        <x:v>D018</x:v>
      </x:c>
      <x:c r="G22" s="14" t="str">
        <x:v>Cücük</x:v>
      </x:c>
      <x:c r="H22" s="14" t="str">
        <x:v>cücük</x:v>
      </x:c>
      <x:c r="I22" s="15" t="str"/>
      <x:c r="J22" s="15" t="str"/>
      <x:c r="K22" s="15" t="str"/>
      <x:c r="L22" s="15" t="str"/>
      <x:c r="M22" s="15" t="str"/>
      <x:c r="N22" s="15" t="str"/>
      <x:c r="O22" s="15" t="str"/>
      <x:c r="P22" s="15" t="str"/>
      <x:c r="Q22" s="14" t="str"/>
      <x:c r="R22" s="14" t="str"/>
      <x:c r="S22" s="14" t="str"/>
      <x:c r="T22" s="14" t="str">
        <x:v>pending</x:v>
      </x:c>
      <x:c r="U22" s="14" t="str">
        <x:v>prompt_tr_v0.1</x:v>
      </x:c>
      <x:c r="V22" s="14" t="str">
        <x:v>scorer_tr_v0.1</x:v>
      </x:c>
    </x:row>
    <x:row r="23">
      <x:c r="A23" s="14" t="str">
        <x:v>PILOT-M1-D019</x:v>
      </x:c>
      <x:c r="B23" s="14" t="str">
        <x:v>M1</x:v>
      </x:c>
      <x:c r="C23" s="14" t="str">
        <x:v>gpt-5.5-2026-04-23</x:v>
      </x:c>
      <x:c r="D23" s="14" t="str"/>
      <x:c r="E23" s="14" t="str"/>
      <x:c r="F23" s="14" t="str">
        <x:v>D019</x:v>
      </x:c>
      <x:c r="G23" s="14" t="str">
        <x:v>Mamaliga</x:v>
      </x:c>
      <x:c r="H23" s="14" t="str">
        <x:v>mamaliga</x:v>
      </x:c>
      <x:c r="I23" s="15" t="str"/>
      <x:c r="J23" s="15" t="str"/>
      <x:c r="K23" s="15" t="str"/>
      <x:c r="L23" s="15" t="str"/>
      <x:c r="M23" s="15" t="str"/>
      <x:c r="N23" s="15" t="str"/>
      <x:c r="O23" s="15" t="str"/>
      <x:c r="P23" s="15" t="str"/>
      <x:c r="Q23" s="14" t="str"/>
      <x:c r="R23" s="14" t="str"/>
      <x:c r="S23" s="14" t="str"/>
      <x:c r="T23" s="14" t="str">
        <x:v>pending</x:v>
      </x:c>
      <x:c r="U23" s="14" t="str">
        <x:v>prompt_tr_v0.1</x:v>
      </x:c>
      <x:c r="V23" s="14" t="str">
        <x:v>scorer_tr_v0.1</x:v>
      </x:c>
    </x:row>
    <x:row r="24">
      <x:c r="A24" s="14" t="str">
        <x:v>PILOT-M1-D020</x:v>
      </x:c>
      <x:c r="B24" s="14" t="str">
        <x:v>M1</x:v>
      </x:c>
      <x:c r="C24" s="14" t="str">
        <x:v>gpt-5.5-2026-04-23</x:v>
      </x:c>
      <x:c r="D24" s="14" t="str"/>
      <x:c r="E24" s="14" t="str"/>
      <x:c r="F24" s="14" t="str">
        <x:v>D020</x:v>
      </x:c>
      <x:c r="G24" s="14" t="str">
        <x:v>Takım</x:v>
      </x:c>
      <x:c r="H24" s="14" t="str">
        <x:v>takım</x:v>
      </x:c>
      <x:c r="I24" s="15" t="str"/>
      <x:c r="J24" s="15" t="str"/>
      <x:c r="K24" s="15" t="str"/>
      <x:c r="L24" s="15" t="str"/>
      <x:c r="M24" s="15" t="str"/>
      <x:c r="N24" s="15" t="str"/>
      <x:c r="O24" s="15" t="str"/>
      <x:c r="P24" s="15" t="str"/>
      <x:c r="Q24" s="14" t="str"/>
      <x:c r="R24" s="14" t="str"/>
      <x:c r="S24" s="14" t="str"/>
      <x:c r="T24" s="14" t="str">
        <x:v>pending</x:v>
      </x:c>
      <x:c r="U24" s="14" t="str">
        <x:v>prompt_tr_v0.1</x:v>
      </x:c>
      <x:c r="V24" s="14" t="str">
        <x:v>scorer_tr_v0.1</x:v>
      </x:c>
    </x:row>
    <x:row r="25">
      <x:c r="A25" s="14" t="str">
        <x:v>PILOT-M1-D021</x:v>
      </x:c>
      <x:c r="B25" s="14" t="str">
        <x:v>M1</x:v>
      </x:c>
      <x:c r="C25" s="14" t="str">
        <x:v>gpt-5.5-2026-04-23</x:v>
      </x:c>
      <x:c r="D25" s="14" t="str"/>
      <x:c r="E25" s="14" t="str"/>
      <x:c r="F25" s="14" t="str">
        <x:v>D021</x:v>
      </x:c>
      <x:c r="G25" s="14" t="str">
        <x:v>Zinardı daveti</x:v>
      </x:c>
      <x:c r="H25" s="14" t="str">
        <x:v>zinardı daveti | zinardı | sini ardı daveti | sini ardı</x:v>
      </x:c>
      <x:c r="I25" s="15" t="str"/>
      <x:c r="J25" s="15" t="str"/>
      <x:c r="K25" s="15" t="str"/>
      <x:c r="L25" s="15" t="str"/>
      <x:c r="M25" s="15" t="str"/>
      <x:c r="N25" s="15" t="str"/>
      <x:c r="O25" s="15" t="str"/>
      <x:c r="P25" s="15" t="str"/>
      <x:c r="Q25" s="14" t="str"/>
      <x:c r="R25" s="14" t="str"/>
      <x:c r="S25" s="14" t="str"/>
      <x:c r="T25" s="14" t="str">
        <x:v>pending</x:v>
      </x:c>
      <x:c r="U25" s="14" t="str">
        <x:v>prompt_tr_v0.1</x:v>
      </x:c>
      <x:c r="V25" s="14" t="str">
        <x:v>scorer_tr_v0.1</x:v>
      </x:c>
    </x:row>
    <x:row r="26">
      <x:c r="A26" s="14" t="str">
        <x:v>PILOT-M1-D022</x:v>
      </x:c>
      <x:c r="B26" s="14" t="str">
        <x:v>M1</x:v>
      </x:c>
      <x:c r="C26" s="14" t="str">
        <x:v>gpt-5.5-2026-04-23</x:v>
      </x:c>
      <x:c r="D26" s="14" t="str"/>
      <x:c r="E26" s="14" t="str"/>
      <x:c r="F26" s="14" t="str">
        <x:v>D022</x:v>
      </x:c>
      <x:c r="G26" s="14" t="str">
        <x:v>Yemek kurtarma</x:v>
      </x:c>
      <x:c r="H26" s="14" t="str">
        <x:v>yemek kurtarma</x:v>
      </x:c>
      <x:c r="I26" s="15" t="str"/>
      <x:c r="J26" s="15" t="str"/>
      <x:c r="K26" s="15" t="str"/>
      <x:c r="L26" s="15" t="str"/>
      <x:c r="M26" s="15" t="str"/>
      <x:c r="N26" s="15" t="str"/>
      <x:c r="O26" s="15" t="str"/>
      <x:c r="P26" s="15" t="str"/>
      <x:c r="Q26" s="14" t="str"/>
      <x:c r="R26" s="14" t="str"/>
      <x:c r="S26" s="14" t="str"/>
      <x:c r="T26" s="14" t="str">
        <x:v>pending</x:v>
      </x:c>
      <x:c r="U26" s="14" t="str">
        <x:v>prompt_tr_v0.1</x:v>
      </x:c>
      <x:c r="V26" s="14" t="str">
        <x:v>scorer_tr_v0.1</x:v>
      </x:c>
    </x:row>
    <x:row r="27">
      <x:c r="A27" s="14" t="str">
        <x:v>PILOT-M1-D023</x:v>
      </x:c>
      <x:c r="B27" s="14" t="str">
        <x:v>M1</x:v>
      </x:c>
      <x:c r="C27" s="14" t="str">
        <x:v>gpt-5.5-2026-04-23</x:v>
      </x:c>
      <x:c r="D27" s="14" t="str"/>
      <x:c r="E27" s="14" t="str"/>
      <x:c r="F27" s="14" t="str">
        <x:v>D023</x:v>
      </x:c>
      <x:c r="G27" s="14" t="str">
        <x:v>Kaymak</x:v>
      </x:c>
      <x:c r="H27" s="14" t="str">
        <x:v>kaymak</x:v>
      </x:c>
      <x:c r="I27" s="15" t="str"/>
      <x:c r="J27" s="15" t="str"/>
      <x:c r="K27" s="15" t="str"/>
      <x:c r="L27" s="15" t="str"/>
      <x:c r="M27" s="15" t="str"/>
      <x:c r="N27" s="15" t="str"/>
      <x:c r="O27" s="15" t="str"/>
      <x:c r="P27" s="15" t="str"/>
      <x:c r="Q27" s="14" t="str"/>
      <x:c r="R27" s="14" t="str"/>
      <x:c r="S27" s="14" t="str"/>
      <x:c r="T27" s="14" t="str">
        <x:v>pending</x:v>
      </x:c>
      <x:c r="U27" s="14" t="str">
        <x:v>prompt_tr_v0.1</x:v>
      </x:c>
      <x:c r="V27" s="14" t="str">
        <x:v>scorer_tr_v0.1</x:v>
      </x:c>
    </x:row>
    <x:row r="28">
      <x:c r="A28" s="14" t="str">
        <x:v>PILOT-M1-D024</x:v>
      </x:c>
      <x:c r="B28" s="14" t="str">
        <x:v>M1</x:v>
      </x:c>
      <x:c r="C28" s="14" t="str">
        <x:v>gpt-5.5-2026-04-23</x:v>
      </x:c>
      <x:c r="D28" s="14" t="str"/>
      <x:c r="E28" s="14" t="str"/>
      <x:c r="F28" s="14" t="str">
        <x:v>D024</x:v>
      </x:c>
      <x:c r="G28" s="14" t="str">
        <x:v>Pişirme ve soğutma sonrasında</x:v>
      </x:c>
      <x:c r="H28" s="14" t="str">
        <x:v>pişirme ve soğutma sonrasında | pişirmeden ve soğutmadan sonra | dövme pişirilip soğutulduktan sonra | pişmiş dövme soğutulduktan sonra</x:v>
      </x:c>
      <x:c r="I28" s="15" t="str"/>
      <x:c r="J28" s="15" t="str"/>
      <x:c r="K28" s="15" t="str"/>
      <x:c r="L28" s="15" t="str"/>
      <x:c r="M28" s="15" t="str"/>
      <x:c r="N28" s="15" t="str"/>
      <x:c r="O28" s="15" t="str"/>
      <x:c r="P28" s="15" t="str"/>
      <x:c r="Q28" s="14" t="str"/>
      <x:c r="R28" s="14" t="str"/>
      <x:c r="S28" s="14" t="str"/>
      <x:c r="T28" s="14" t="str">
        <x:v>pending</x:v>
      </x:c>
      <x:c r="U28" s="14" t="str">
        <x:v>prompt_tr_v0.1</x:v>
      </x:c>
      <x:c r="V28" s="14" t="str">
        <x:v>scorer_tr_v0.1</x:v>
      </x:c>
    </x:row>
    <x:row r="29">
      <x:c r="A29" s="14" t="str">
        <x:v>PILOT-M1-D025</x:v>
      </x:c>
      <x:c r="B29" s="14" t="str">
        <x:v>M1</x:v>
      </x:c>
      <x:c r="C29" s="14" t="str">
        <x:v>gpt-5.5-2026-04-23</x:v>
      </x:c>
      <x:c r="D29" s="14" t="str"/>
      <x:c r="E29" s="14" t="str"/>
      <x:c r="F29" s="14" t="str">
        <x:v>D025</x:v>
      </x:c>
      <x:c r="G29" s="14" t="str">
        <x:v>Sığır bağırsağı</x:v>
      </x:c>
      <x:c r="H29" s="14" t="str">
        <x:v>sığır bağırsağı | sığır bağırsağına</x:v>
      </x:c>
      <x:c r="I29" s="15" t="str"/>
      <x:c r="J29" s="15" t="str"/>
      <x:c r="K29" s="15" t="str"/>
      <x:c r="L29" s="15" t="str"/>
      <x:c r="M29" s="15" t="str"/>
      <x:c r="N29" s="15" t="str"/>
      <x:c r="O29" s="15" t="str"/>
      <x:c r="P29" s="15" t="str"/>
      <x:c r="Q29" s="14" t="str"/>
      <x:c r="R29" s="14" t="str"/>
      <x:c r="S29" s="14" t="str"/>
      <x:c r="T29" s="14" t="str">
        <x:v>pending</x:v>
      </x:c>
      <x:c r="U29" s="14" t="str">
        <x:v>prompt_tr_v0.1</x:v>
      </x:c>
      <x:c r="V29" s="14" t="str">
        <x:v>scorer_tr_v0.1</x:v>
      </x:c>
    </x:row>
    <x:row r="30">
      <x:c r="A30" s="14" t="str">
        <x:v>PILOT-M1-D026</x:v>
      </x:c>
      <x:c r="B30" s="14" t="str">
        <x:v>M1</x:v>
      </x:c>
      <x:c r="C30" s="14" t="str">
        <x:v>gpt-5.5-2026-04-23</x:v>
      </x:c>
      <x:c r="D30" s="14" t="str"/>
      <x:c r="E30" s="14" t="str"/>
      <x:c r="F30" s="14" t="str">
        <x:v>D026</x:v>
      </x:c>
      <x:c r="G30" s="14" t="str">
        <x:v>Meşe odunu</x:v>
      </x:c>
      <x:c r="H30" s="14" t="str">
        <x:v>meşe odunu | meşe</x:v>
      </x:c>
      <x:c r="I30" s="15" t="str"/>
      <x:c r="J30" s="15" t="str"/>
      <x:c r="K30" s="15" t="str"/>
      <x:c r="L30" s="15" t="str"/>
      <x:c r="M30" s="15" t="str"/>
      <x:c r="N30" s="15" t="str"/>
      <x:c r="O30" s="15" t="str"/>
      <x:c r="P30" s="15" t="str"/>
      <x:c r="Q30" s="14" t="str"/>
      <x:c r="R30" s="14" t="str"/>
      <x:c r="S30" s="14" t="str"/>
      <x:c r="T30" s="14" t="str">
        <x:v>pending</x:v>
      </x:c>
      <x:c r="U30" s="14" t="str">
        <x:v>prompt_tr_v0.1</x:v>
      </x:c>
      <x:c r="V30" s="14" t="str">
        <x:v>scorer_tr_v0.1</x:v>
      </x:c>
    </x:row>
    <x:row r="31">
      <x:c r="A31" s="14" t="str">
        <x:v>PILOT-M1-D027</x:v>
      </x:c>
      <x:c r="B31" s="14" t="str">
        <x:v>M1</x:v>
      </x:c>
      <x:c r="C31" s="14" t="str">
        <x:v>gpt-5.5-2026-04-23</x:v>
      </x:c>
      <x:c r="D31" s="14" t="str"/>
      <x:c r="E31" s="14" t="str"/>
      <x:c r="F31" s="14" t="str">
        <x:v>D027</x:v>
      </x:c>
      <x:c r="G31" s="14" t="str">
        <x:v>Fındık kabuğu</x:v>
      </x:c>
      <x:c r="H31" s="14" t="str">
        <x:v>fındık kabuğu | fındık kabuğu ateşi | fındık kabuğu ateşinde</x:v>
      </x:c>
      <x:c r="I31" s="15" t="str"/>
      <x:c r="J31" s="15" t="str"/>
      <x:c r="K31" s="15" t="str"/>
      <x:c r="L31" s="15" t="str"/>
      <x:c r="M31" s="15" t="str"/>
      <x:c r="N31" s="15" t="str"/>
      <x:c r="O31" s="15" t="str"/>
      <x:c r="P31" s="15" t="str"/>
      <x:c r="Q31" s="14" t="str"/>
      <x:c r="R31" s="14" t="str"/>
      <x:c r="S31" s="14" t="str"/>
      <x:c r="T31" s="14" t="str">
        <x:v>pending</x:v>
      </x:c>
      <x:c r="U31" s="14" t="str">
        <x:v>prompt_tr_v0.1</x:v>
      </x:c>
      <x:c r="V31" s="14" t="str">
        <x:v>scorer_tr_v0.1</x:v>
      </x:c>
    </x:row>
    <x:row r="32">
      <x:c r="A32" s="14" t="str">
        <x:v>PILOT-M1-D028</x:v>
      </x:c>
      <x:c r="B32" s="14" t="str">
        <x:v>M1</x:v>
      </x:c>
      <x:c r="C32" s="14" t="str">
        <x:v>gpt-5.5-2026-04-23</x:v>
      </x:c>
      <x:c r="D32" s="14" t="str"/>
      <x:c r="E32" s="14" t="str"/>
      <x:c r="F32" s="14" t="str">
        <x:v>D028</x:v>
      </x:c>
      <x:c r="G32" s="14" t="str">
        <x:v>Çöven</x:v>
      </x:c>
      <x:c r="H32" s="14" t="str">
        <x:v>çöven | çöğen</x:v>
      </x:c>
      <x:c r="I32" s="15" t="str"/>
      <x:c r="J32" s="15" t="str"/>
      <x:c r="K32" s="15" t="str"/>
      <x:c r="L32" s="15" t="str"/>
      <x:c r="M32" s="15" t="str"/>
      <x:c r="N32" s="15" t="str"/>
      <x:c r="O32" s="15" t="str"/>
      <x:c r="P32" s="15" t="str"/>
      <x:c r="Q32" s="14" t="str"/>
      <x:c r="R32" s="14" t="str"/>
      <x:c r="S32" s="14" t="str"/>
      <x:c r="T32" s="14" t="str">
        <x:v>pending</x:v>
      </x:c>
      <x:c r="U32" s="14" t="str">
        <x:v>prompt_tr_v0.1</x:v>
      </x:c>
      <x:c r="V32" s="14" t="str">
        <x:v>scorer_tr_v0.1</x:v>
      </x:c>
    </x:row>
    <x:row r="33">
      <x:c r="A33" s="14" t="str">
        <x:v>PILOT-M1-D029</x:v>
      </x:c>
      <x:c r="B33" s="14" t="str">
        <x:v>M1</x:v>
      </x:c>
      <x:c r="C33" s="14" t="str">
        <x:v>gpt-5.5-2026-04-23</x:v>
      </x:c>
      <x:c r="D33" s="14" t="str"/>
      <x:c r="E33" s="14" t="str"/>
      <x:c r="F33" s="14" t="str">
        <x:v>D029</x:v>
      </x:c>
      <x:c r="G33" s="14" t="str">
        <x:v>Fal bakmak</x:v>
      </x:c>
      <x:c r="H33" s="14" t="str">
        <x:v>fal bakmak | kahve falı | kahve falı bakmak | falcılık</x:v>
      </x:c>
      <x:c r="I33" s="15" t="str"/>
      <x:c r="J33" s="15" t="str"/>
      <x:c r="K33" s="15" t="str"/>
      <x:c r="L33" s="15" t="str"/>
      <x:c r="M33" s="15" t="str"/>
      <x:c r="N33" s="15" t="str"/>
      <x:c r="O33" s="15" t="str"/>
      <x:c r="P33" s="15" t="str"/>
      <x:c r="Q33" s="14" t="str"/>
      <x:c r="R33" s="14" t="str"/>
      <x:c r="S33" s="14" t="str"/>
      <x:c r="T33" s="14" t="str">
        <x:v>pending</x:v>
      </x:c>
      <x:c r="U33" s="14" t="str">
        <x:v>prompt_tr_v0.1</x:v>
      </x:c>
      <x:c r="V33" s="14" t="str">
        <x:v>scorer_tr_v0.1</x:v>
      </x:c>
    </x:row>
    <x:row r="34">
      <x:c r="A34" s="14" t="str">
        <x:v>PILOT-M1-D030</x:v>
      </x:c>
      <x:c r="B34" s="14" t="str">
        <x:v>M1</x:v>
      </x:c>
      <x:c r="C34" s="14" t="str">
        <x:v>gpt-5.5-2026-04-23</x:v>
      </x:c>
      <x:c r="D34" s="14" t="str"/>
      <x:c r="E34" s="14" t="str"/>
      <x:c r="F34" s="14" t="str">
        <x:v>D030</x:v>
      </x:c>
      <x:c r="G34" s="14" t="str">
        <x:v>Azerbaycan</x:v>
      </x:c>
      <x:c r="H34" s="14" t="str">
        <x:v>azerbaycan | azerbaijan</x:v>
      </x:c>
      <x:c r="I34" s="15" t="str"/>
      <x:c r="J34" s="15" t="str"/>
      <x:c r="K34" s="15" t="str"/>
      <x:c r="L34" s="15" t="str"/>
      <x:c r="M34" s="15" t="str"/>
      <x:c r="N34" s="15" t="str"/>
      <x:c r="O34" s="15" t="str"/>
      <x:c r="P34" s="15" t="str"/>
      <x:c r="Q34" s="14" t="str"/>
      <x:c r="R34" s="14" t="str"/>
      <x:c r="S34" s="14" t="str"/>
      <x:c r="T34" s="14" t="str">
        <x:v>pending</x:v>
      </x:c>
      <x:c r="U34" s="14" t="str">
        <x:v>prompt_tr_v0.1</x:v>
      </x:c>
      <x:c r="V34" s="14" t="str">
        <x:v>scorer_tr_v0.1</x:v>
      </x:c>
    </x:row>
    <x:row r="35">
      <x:c r="A35" s="14" t="str">
        <x:v>PILOT-M1-D031</x:v>
      </x:c>
      <x:c r="B35" s="14" t="str">
        <x:v>M1</x:v>
      </x:c>
      <x:c r="C35" s="14" t="str">
        <x:v>gpt-5.5-2026-04-23</x:v>
      </x:c>
      <x:c r="D35" s="14" t="str"/>
      <x:c r="E35" s="14" t="str"/>
      <x:c r="F35" s="14" t="str">
        <x:v>D031</x:v>
      </x:c>
      <x:c r="G35" s="14" t="str">
        <x:v>Usta-çırak</x:v>
      </x:c>
      <x:c r="H35" s="14" t="str">
        <x:v>usta-çırak | usta çırak | ustadan çırağa | usta-çırak ilişkisi</x:v>
      </x:c>
      <x:c r="I35" s="15" t="str"/>
      <x:c r="J35" s="15" t="str"/>
      <x:c r="K35" s="15" t="str"/>
      <x:c r="L35" s="15" t="str"/>
      <x:c r="M35" s="15" t="str"/>
      <x:c r="N35" s="15" t="str"/>
      <x:c r="O35" s="15" t="str"/>
      <x:c r="P35" s="15" t="str"/>
      <x:c r="Q35" s="14" t="str"/>
      <x:c r="R35" s="14" t="str"/>
      <x:c r="S35" s="14" t="str"/>
      <x:c r="T35" s="14" t="str">
        <x:v>pending</x:v>
      </x:c>
      <x:c r="U35" s="14" t="str">
        <x:v>prompt_tr_v0.1</x:v>
      </x:c>
      <x:c r="V35" s="14" t="str">
        <x:v>scorer_tr_v0.1</x:v>
      </x:c>
    </x:row>
    <x:row r="36">
      <x:c r="A36" s="14" t="str">
        <x:v>PILOT-M1-D032</x:v>
      </x:c>
      <x:c r="B36" s="14" t="str">
        <x:v>M1</x:v>
      </x:c>
      <x:c r="C36" s="14" t="str">
        <x:v>gpt-5.5-2026-04-23</x:v>
      </x:c>
      <x:c r="D36" s="14" t="str"/>
      <x:c r="E36" s="14" t="str"/>
      <x:c r="F36" s="14" t="str">
        <x:v>D032</x:v>
      </x:c>
      <x:c r="G36" s="14" t="str">
        <x:v>Dua</x:v>
      </x:c>
      <x:c r="H36" s="14" t="str">
        <x:v>dua | dualar | dua ederek | dualarla</x:v>
      </x:c>
      <x:c r="I36" s="15" t="str"/>
      <x:c r="J36" s="15" t="str"/>
      <x:c r="K36" s="15" t="str"/>
      <x:c r="L36" s="15" t="str"/>
      <x:c r="M36" s="15" t="str"/>
      <x:c r="N36" s="15" t="str"/>
      <x:c r="O36" s="15" t="str"/>
      <x:c r="P36" s="15" t="str"/>
      <x:c r="Q36" s="14" t="str"/>
      <x:c r="R36" s="14" t="str"/>
      <x:c r="S36" s="14" t="str"/>
      <x:c r="T36" s="14" t="str">
        <x:v>pending</x:v>
      </x:c>
      <x:c r="U36" s="14" t="str">
        <x:v>prompt_tr_v0.1</x:v>
      </x:c>
      <x:c r="V36" s="14" t="str">
        <x:v>scorer_tr_v0.1</x:v>
      </x:c>
    </x:row>
    <x:row r="37">
      <x:c r="A37" s="14" t="str">
        <x:v>PILOT-M1-D033</x:v>
      </x:c>
      <x:c r="B37" s="14" t="str">
        <x:v>M1</x:v>
      </x:c>
      <x:c r="C37" s="14" t="str">
        <x:v>gpt-5.5-2026-04-23</x:v>
      </x:c>
      <x:c r="D37" s="14" t="str"/>
      <x:c r="E37" s="14" t="str"/>
      <x:c r="F37" s="14" t="str">
        <x:v>D033</x:v>
      </x:c>
      <x:c r="G37" s="14" t="str">
        <x:v>Hafsa Sultan</x:v>
      </x:c>
      <x:c r="H37" s="14" t="str">
        <x:v>hafsa sultan | ayşe hafsa sultan</x:v>
      </x:c>
      <x:c r="I37" s="15" t="str"/>
      <x:c r="J37" s="15" t="str"/>
      <x:c r="K37" s="15" t="str"/>
      <x:c r="L37" s="15" t="str"/>
      <x:c r="M37" s="15" t="str"/>
      <x:c r="N37" s="15" t="str"/>
      <x:c r="O37" s="15" t="str"/>
      <x:c r="P37" s="15" t="str"/>
      <x:c r="Q37" s="14" t="str"/>
      <x:c r="R37" s="14" t="str"/>
      <x:c r="S37" s="14" t="str"/>
      <x:c r="T37" s="14" t="str">
        <x:v>pending</x:v>
      </x:c>
      <x:c r="U37" s="14" t="str">
        <x:v>prompt_tr_v0.1</x:v>
      </x:c>
      <x:c r="V37" s="14" t="str">
        <x:v>scorer_tr_v0.1</x:v>
      </x:c>
    </x:row>
    <x:row r="38">
      <x:c r="A38" s="14" t="str">
        <x:v>PILOT-M1-D034</x:v>
      </x:c>
      <x:c r="B38" s="14" t="str">
        <x:v>M1</x:v>
      </x:c>
      <x:c r="C38" s="14" t="str">
        <x:v>gpt-5.5-2026-04-23</x:v>
      </x:c>
      <x:c r="D38" s="14" t="str"/>
      <x:c r="E38" s="14" t="str"/>
      <x:c r="F38" s="14" t="str">
        <x:v>D034</x:v>
      </x:c>
      <x:c r="G38" s="14" t="str">
        <x:v>Ramazan</x:v>
      </x:c>
      <x:c r="H38" s="14" t="str">
        <x:v>ramazan | ramazan ayı</x:v>
      </x:c>
      <x:c r="I38" s="15" t="str"/>
      <x:c r="J38" s="15" t="str"/>
      <x:c r="K38" s="15" t="str"/>
      <x:c r="L38" s="15" t="str"/>
      <x:c r="M38" s="15" t="str"/>
      <x:c r="N38" s="15" t="str"/>
      <x:c r="O38" s="15" t="str"/>
      <x:c r="P38" s="15" t="str"/>
      <x:c r="Q38" s="14" t="str"/>
      <x:c r="R38" s="14" t="str"/>
      <x:c r="S38" s="14" t="str"/>
      <x:c r="T38" s="14" t="str">
        <x:v>pending</x:v>
      </x:c>
      <x:c r="U38" s="14" t="str">
        <x:v>prompt_tr_v0.1</x:v>
      </x:c>
      <x:c r="V38" s="14" t="str">
        <x:v>scorer_tr_v0.1</x:v>
      </x:c>
    </x:row>
    <x:row r="39">
      <x:c r="A39" s="14" t="str">
        <x:v>PILOT-M1-D035</x:v>
      </x:c>
      <x:c r="B39" s="14" t="str">
        <x:v>M1</x:v>
      </x:c>
      <x:c r="C39" s="14" t="str">
        <x:v>gpt-5.5-2026-04-23</x:v>
      </x:c>
      <x:c r="D39" s="14" t="str"/>
      <x:c r="E39" s="14" t="str"/>
      <x:c r="F39" s="14" t="str">
        <x:v>D035</x:v>
      </x:c>
      <x:c r="G39" s="14" t="str">
        <x:v>En az %15</x:v>
      </x:c>
      <x:c r="H39" s="14" t="str">
        <x:v>15 | %15 | yüzde 15 | en az %15 | en az yüzde 15</x:v>
      </x:c>
      <x:c r="I39" s="15" t="str"/>
      <x:c r="J39" s="15" t="str"/>
      <x:c r="K39" s="15" t="str"/>
      <x:c r="L39" s="15" t="str"/>
      <x:c r="M39" s="15" t="str"/>
      <x:c r="N39" s="15" t="str"/>
      <x:c r="O39" s="15" t="str"/>
      <x:c r="P39" s="15" t="str"/>
      <x:c r="Q39" s="14" t="str"/>
      <x:c r="R39" s="14" t="str"/>
      <x:c r="S39" s="14" t="str"/>
      <x:c r="T39" s="14" t="str">
        <x:v>pending</x:v>
      </x:c>
      <x:c r="U39" s="14" t="str">
        <x:v>prompt_tr_v0.1</x:v>
      </x:c>
      <x:c r="V39" s="14" t="str">
        <x:v>scorer_tr_v0.1</x:v>
      </x:c>
    </x:row>
    <x:row r="40">
      <x:c r="A40" s="14" t="str">
        <x:v>PILOT-M1-D036</x:v>
      </x:c>
      <x:c r="B40" s="14" t="str">
        <x:v>M1</x:v>
      </x:c>
      <x:c r="C40" s="14" t="str">
        <x:v>gpt-5.5-2026-04-23</x:v>
      </x:c>
      <x:c r="D40" s="14" t="str"/>
      <x:c r="E40" s="14" t="str"/>
      <x:c r="F40" s="14" t="str">
        <x:v>D036</x:v>
      </x:c>
      <x:c r="G40" s="14" t="str">
        <x:v>2–4 kişi</x:v>
      </x:c>
      <x:c r="H40" s="14" t="str">
        <x:v>2-4 | 2–4 | 2 ila 4 | iki ila dört | iki-dört kişi</x:v>
      </x:c>
      <x:c r="I40" s="15" t="str"/>
      <x:c r="J40" s="15" t="str"/>
      <x:c r="K40" s="15" t="str"/>
      <x:c r="L40" s="15" t="str"/>
      <x:c r="M40" s="15" t="str"/>
      <x:c r="N40" s="15" t="str"/>
      <x:c r="O40" s="15" t="str"/>
      <x:c r="P40" s="15" t="str"/>
      <x:c r="Q40" s="14" t="str"/>
      <x:c r="R40" s="14" t="str"/>
      <x:c r="S40" s="14" t="str"/>
      <x:c r="T40" s="14" t="str">
        <x:v>pending</x:v>
      </x:c>
      <x:c r="U40" s="14" t="str">
        <x:v>prompt_tr_v0.1</x:v>
      </x:c>
      <x:c r="V40" s="14" t="str">
        <x:v>scorer_tr_v0.1</x:v>
      </x:c>
    </x:row>
    <x:row r="41">
      <x:c r="A41" s="14" t="str">
        <x:v>PILOT-M2-D001</x:v>
      </x:c>
      <x:c r="B41" s="14" t="str">
        <x:v>M2</x:v>
      </x:c>
      <x:c r="C41" s="14" t="str">
        <x:v>openai/gpt-oss-120b</x:v>
      </x:c>
      <x:c r="D41" s="14" t="str"/>
      <x:c r="E41" s="14" t="str"/>
      <x:c r="F41" s="14" t="str">
        <x:v>D001</x:v>
      </x:c>
      <x:c r="G41" s="14" t="str">
        <x:v>Zırh</x:v>
      </x:c>
      <x:c r="H41" s="14" t="str">
        <x:v>zırh</x:v>
      </x:c>
      <x:c r="I41" s="15" t="str"/>
      <x:c r="J41" s="15" t="str"/>
      <x:c r="K41" s="15" t="str"/>
      <x:c r="L41" s="15" t="str"/>
      <x:c r="M41" s="15" t="str"/>
      <x:c r="N41" s="15" t="str"/>
      <x:c r="O41" s="15" t="str"/>
      <x:c r="P41" s="15" t="str"/>
      <x:c r="Q41" s="14" t="str"/>
      <x:c r="R41" s="14" t="str"/>
      <x:c r="S41" s="14" t="str"/>
      <x:c r="T41" s="14" t="str">
        <x:v>pending</x:v>
      </x:c>
      <x:c r="U41" s="14" t="str">
        <x:v>prompt_tr_v0.1</x:v>
      </x:c>
      <x:c r="V41" s="14" t="str">
        <x:v>scorer_tr_v0.1</x:v>
      </x:c>
    </x:row>
    <x:row r="42">
      <x:c r="A42" s="14" t="str">
        <x:v>PILOT-M2-D002</x:v>
      </x:c>
      <x:c r="B42" s="14" t="str">
        <x:v>M2</x:v>
      </x:c>
      <x:c r="C42" s="14" t="str">
        <x:v>openai/gpt-oss-120b</x:v>
      </x:c>
      <x:c r="D42" s="14" t="str"/>
      <x:c r="E42" s="14" t="str"/>
      <x:c r="F42" s="14" t="str">
        <x:v>D002</x:v>
      </x:c>
      <x:c r="G42" s="14" t="str">
        <x:v>Çığ</x:v>
      </x:c>
      <x:c r="H42" s="14" t="str">
        <x:v>çığ</x:v>
      </x:c>
      <x:c r="I42" s="15" t="str"/>
      <x:c r="J42" s="15" t="str"/>
      <x:c r="K42" s="15" t="str"/>
      <x:c r="L42" s="15" t="str"/>
      <x:c r="M42" s="15" t="str"/>
      <x:c r="N42" s="15" t="str"/>
      <x:c r="O42" s="15" t="str"/>
      <x:c r="P42" s="15" t="str"/>
      <x:c r="Q42" s="14" t="str"/>
      <x:c r="R42" s="14" t="str"/>
      <x:c r="S42" s="14" t="str"/>
      <x:c r="T42" s="14" t="str">
        <x:v>pending</x:v>
      </x:c>
      <x:c r="U42" s="14" t="str">
        <x:v>prompt_tr_v0.1</x:v>
      </x:c>
      <x:c r="V42" s="14" t="str">
        <x:v>scorer_tr_v0.1</x:v>
      </x:c>
    </x:row>
    <x:row r="43">
      <x:c r="A43" s="14" t="str">
        <x:v>PILOT-M2-D003</x:v>
      </x:c>
      <x:c r="B43" s="14" t="str">
        <x:v>M2</x:v>
      </x:c>
      <x:c r="C43" s="14" t="str">
        <x:v>openai/gpt-oss-120b</x:v>
      </x:c>
      <x:c r="D43" s="14" t="str"/>
      <x:c r="E43" s="14" t="str"/>
      <x:c r="F43" s="14" t="str">
        <x:v>D003</x:v>
      </x:c>
      <x:c r="G43" s="14" t="str">
        <x:v>Soğuk</x:v>
      </x:c>
      <x:c r="H43" s="14" t="str">
        <x:v>soğuk | soğuk su</x:v>
      </x:c>
      <x:c r="I43" s="15" t="str"/>
      <x:c r="J43" s="15" t="str"/>
      <x:c r="K43" s="15" t="str"/>
      <x:c r="L43" s="15" t="str"/>
      <x:c r="M43" s="15" t="str"/>
      <x:c r="N43" s="15" t="str"/>
      <x:c r="O43" s="15" t="str"/>
      <x:c r="P43" s="15" t="str"/>
      <x:c r="Q43" s="14" t="str"/>
      <x:c r="R43" s="14" t="str"/>
      <x:c r="S43" s="14" t="str"/>
      <x:c r="T43" s="14" t="str">
        <x:v>pending</x:v>
      </x:c>
      <x:c r="U43" s="14" t="str">
        <x:v>prompt_tr_v0.1</x:v>
      </x:c>
      <x:c r="V43" s="14" t="str">
        <x:v>scorer_tr_v0.1</x:v>
      </x:c>
    </x:row>
    <x:row r="44">
      <x:c r="A44" s="14" t="str">
        <x:v>PILOT-M2-D004</x:v>
      </x:c>
      <x:c r="B44" s="14" t="str">
        <x:v>M2</x:v>
      </x:c>
      <x:c r="C44" s="14" t="str">
        <x:v>openai/gpt-oss-120b</x:v>
      </x:c>
      <x:c r="D44" s="14" t="str"/>
      <x:c r="E44" s="14" t="str"/>
      <x:c r="F44" s="14" t="str">
        <x:v>D004</x:v>
      </x:c>
      <x:c r="G44" s="14" t="str">
        <x:v>Su</x:v>
      </x:c>
      <x:c r="H44" s="14" t="str">
        <x:v>su | bir bardak su</x:v>
      </x:c>
      <x:c r="I44" s="15" t="str"/>
      <x:c r="J44" s="15" t="str"/>
      <x:c r="K44" s="15" t="str"/>
      <x:c r="L44" s="15" t="str"/>
      <x:c r="M44" s="15" t="str"/>
      <x:c r="N44" s="15" t="str"/>
      <x:c r="O44" s="15" t="str"/>
      <x:c r="P44" s="15" t="str"/>
      <x:c r="Q44" s="14" t="str"/>
      <x:c r="R44" s="14" t="str"/>
      <x:c r="S44" s="14" t="str"/>
      <x:c r="T44" s="14" t="str">
        <x:v>pending</x:v>
      </x:c>
      <x:c r="U44" s="14" t="str">
        <x:v>prompt_tr_v0.1</x:v>
      </x:c>
      <x:c r="V44" s="14" t="str">
        <x:v>scorer_tr_v0.1</x:v>
      </x:c>
    </x:row>
    <x:row r="45">
      <x:c r="A45" s="14" t="str">
        <x:v>PILOT-M2-D005</x:v>
      </x:c>
      <x:c r="B45" s="14" t="str">
        <x:v>M2</x:v>
      </x:c>
      <x:c r="C45" s="14" t="str">
        <x:v>openai/gpt-oss-120b</x:v>
      </x:c>
      <x:c r="D45" s="14" t="str"/>
      <x:c r="E45" s="14" t="str"/>
      <x:c r="F45" s="14" t="str">
        <x:v>D005</x:v>
      </x:c>
      <x:c r="G45" s="14" t="str">
        <x:v>Tarator</x:v>
      </x:c>
      <x:c r="H45" s="14" t="str">
        <x:v>tarator | tarator sosu</x:v>
      </x:c>
      <x:c r="I45" s="15" t="str"/>
      <x:c r="J45" s="15" t="str"/>
      <x:c r="K45" s="15" t="str"/>
      <x:c r="L45" s="15" t="str"/>
      <x:c r="M45" s="15" t="str"/>
      <x:c r="N45" s="15" t="str"/>
      <x:c r="O45" s="15" t="str"/>
      <x:c r="P45" s="15" t="str"/>
      <x:c r="Q45" s="14" t="str"/>
      <x:c r="R45" s="14" t="str"/>
      <x:c r="S45" s="14" t="str"/>
      <x:c r="T45" s="14" t="str">
        <x:v>pending</x:v>
      </x:c>
      <x:c r="U45" s="14" t="str">
        <x:v>prompt_tr_v0.1</x:v>
      </x:c>
      <x:c r="V45" s="14" t="str">
        <x:v>scorer_tr_v0.1</x:v>
      </x:c>
    </x:row>
    <x:row r="46">
      <x:c r="A46" s="14" t="str">
        <x:v>PILOT-M2-D006</x:v>
      </x:c>
      <x:c r="B46" s="14" t="str">
        <x:v>M2</x:v>
      </x:c>
      <x:c r="C46" s="14" t="str">
        <x:v>openai/gpt-oss-120b</x:v>
      </x:c>
      <x:c r="D46" s="14" t="str"/>
      <x:c r="E46" s="14" t="str"/>
      <x:c r="F46" s="14" t="str">
        <x:v>D006</x:v>
      </x:c>
      <x:c r="G46" s="14" t="str">
        <x:v>Tokmak</x:v>
      </x:c>
      <x:c r="H46" s="14" t="str">
        <x:v>tokmak</x:v>
      </x:c>
      <x:c r="I46" s="15" t="str"/>
      <x:c r="J46" s="15" t="str"/>
      <x:c r="K46" s="15" t="str"/>
      <x:c r="L46" s="15" t="str"/>
      <x:c r="M46" s="15" t="str"/>
      <x:c r="N46" s="15" t="str"/>
      <x:c r="O46" s="15" t="str"/>
      <x:c r="P46" s="15" t="str"/>
      <x:c r="Q46" s="14" t="str"/>
      <x:c r="R46" s="14" t="str"/>
      <x:c r="S46" s="14" t="str"/>
      <x:c r="T46" s="14" t="str">
        <x:v>pending</x:v>
      </x:c>
      <x:c r="U46" s="14" t="str">
        <x:v>prompt_tr_v0.1</x:v>
      </x:c>
      <x:c r="V46" s="14" t="str">
        <x:v>scorer_tr_v0.1</x:v>
      </x:c>
    </x:row>
    <x:row r="47">
      <x:c r="A47" s="14" t="str">
        <x:v>PILOT-M2-D007</x:v>
      </x:c>
      <x:c r="B47" s="14" t="str">
        <x:v>M2</x:v>
      </x:c>
      <x:c r="C47" s="14" t="str">
        <x:v>openai/gpt-oss-120b</x:v>
      </x:c>
      <x:c r="D47" s="14" t="str"/>
      <x:c r="E47" s="14" t="str"/>
      <x:c r="F47" s="14" t="str">
        <x:v>D007</x:v>
      </x:c>
      <x:c r="G47" s="14" t="str">
        <x:v>Ceviz</x:v>
      </x:c>
      <x:c r="H47" s="14" t="str">
        <x:v>ceviz | ceviz içi</x:v>
      </x:c>
      <x:c r="I47" s="15" t="str"/>
      <x:c r="J47" s="15" t="str"/>
      <x:c r="K47" s="15" t="str"/>
      <x:c r="L47" s="15" t="str"/>
      <x:c r="M47" s="15" t="str"/>
      <x:c r="N47" s="15" t="str"/>
      <x:c r="O47" s="15" t="str"/>
      <x:c r="P47" s="15" t="str"/>
      <x:c r="Q47" s="14" t="str"/>
      <x:c r="R47" s="14" t="str"/>
      <x:c r="S47" s="14" t="str"/>
      <x:c r="T47" s="14" t="str">
        <x:v>pending</x:v>
      </x:c>
      <x:c r="U47" s="14" t="str">
        <x:v>prompt_tr_v0.1</x:v>
      </x:c>
      <x:c r="V47" s="14" t="str">
        <x:v>scorer_tr_v0.1</x:v>
      </x:c>
    </x:row>
    <x:row r="48">
      <x:c r="A48" s="14" t="str">
        <x:v>PILOT-M2-D008</x:v>
      </x:c>
      <x:c r="B48" s="14" t="str">
        <x:v>M2</x:v>
      </x:c>
      <x:c r="C48" s="14" t="str">
        <x:v>openai/gpt-oss-120b</x:v>
      </x:c>
      <x:c r="D48" s="14" t="str"/>
      <x:c r="E48" s="14" t="str"/>
      <x:c r="F48" s="14" t="str">
        <x:v>D008</x:v>
      </x:c>
      <x:c r="G48" s="14" t="str">
        <x:v>Badem</x:v>
      </x:c>
      <x:c r="H48" s="14" t="str">
        <x:v>badem | badem içi</x:v>
      </x:c>
      <x:c r="I48" s="15" t="str"/>
      <x:c r="J48" s="15" t="str"/>
      <x:c r="K48" s="15" t="str"/>
      <x:c r="L48" s="15" t="str"/>
      <x:c r="M48" s="15" t="str"/>
      <x:c r="N48" s="15" t="str"/>
      <x:c r="O48" s="15" t="str"/>
      <x:c r="P48" s="15" t="str"/>
      <x:c r="Q48" s="14" t="str"/>
      <x:c r="R48" s="14" t="str"/>
      <x:c r="S48" s="14" t="str"/>
      <x:c r="T48" s="14" t="str">
        <x:v>pending</x:v>
      </x:c>
      <x:c r="U48" s="14" t="str">
        <x:v>prompt_tr_v0.1</x:v>
      </x:c>
      <x:c r="V48" s="14" t="str">
        <x:v>scorer_tr_v0.1</x:v>
      </x:c>
    </x:row>
    <x:row r="49">
      <x:c r="A49" s="14" t="str">
        <x:v>PILOT-M2-D009</x:v>
      </x:c>
      <x:c r="B49" s="14" t="str">
        <x:v>M2</x:v>
      </x:c>
      <x:c r="C49" s="14" t="str">
        <x:v>openai/gpt-oss-120b</x:v>
      </x:c>
      <x:c r="D49" s="14" t="str"/>
      <x:c r="E49" s="14" t="str"/>
      <x:c r="F49" s="14" t="str">
        <x:v>D009</x:v>
      </x:c>
      <x:c r="G49" s="14" t="str">
        <x:v>Yoğurt ve dövme</x:v>
      </x:c>
      <x:c r="H49" s="14" t="str">
        <x:v>yoğurt ve dövme | yoğurt ve buğday yarması | yoğurt ile dövme | yoğurt ile buğday yarması</x:v>
      </x:c>
      <x:c r="I49" s="15" t="str"/>
      <x:c r="J49" s="15" t="str"/>
      <x:c r="K49" s="15" t="str"/>
      <x:c r="L49" s="15" t="str"/>
      <x:c r="M49" s="15" t="str"/>
      <x:c r="N49" s="15" t="str"/>
      <x:c r="O49" s="15" t="str"/>
      <x:c r="P49" s="15" t="str"/>
      <x:c r="Q49" s="14" t="str"/>
      <x:c r="R49" s="14" t="str"/>
      <x:c r="S49" s="14" t="str"/>
      <x:c r="T49" s="14" t="str">
        <x:v>pending</x:v>
      </x:c>
      <x:c r="U49" s="14" t="str">
        <x:v>prompt_tr_v0.1</x:v>
      </x:c>
      <x:c r="V49" s="14" t="str">
        <x:v>scorer_tr_v0.1</x:v>
      </x:c>
    </x:row>
    <x:row r="50">
      <x:c r="A50" s="14" t="str">
        <x:v>PILOT-M2-D010</x:v>
      </x:c>
      <x:c r="B50" s="14" t="str">
        <x:v>M2</x:v>
      </x:c>
      <x:c r="C50" s="14" t="str">
        <x:v>openai/gpt-oss-120b</x:v>
      </x:c>
      <x:c r="D50" s="14" t="str"/>
      <x:c r="E50" s="14" t="str"/>
      <x:c r="F50" s="14" t="str">
        <x:v>D010</x:v>
      </x:c>
      <x:c r="G50" s="14" t="str">
        <x:v>Armut biçimli bardak</x:v>
      </x:c>
      <x:c r="H50" s="14" t="str">
        <x:v>armut biçimli bardak | armut şeklinde bardak | armut biçimli bardaklar | armut şeklinde bardaklar</x:v>
      </x:c>
      <x:c r="I50" s="15" t="str"/>
      <x:c r="J50" s="15" t="str"/>
      <x:c r="K50" s="15" t="str"/>
      <x:c r="L50" s="15" t="str"/>
      <x:c r="M50" s="15" t="str"/>
      <x:c r="N50" s="15" t="str"/>
      <x:c r="O50" s="15" t="str"/>
      <x:c r="P50" s="15" t="str"/>
      <x:c r="Q50" s="14" t="str"/>
      <x:c r="R50" s="14" t="str"/>
      <x:c r="S50" s="14" t="str"/>
      <x:c r="T50" s="14" t="str">
        <x:v>pending</x:v>
      </x:c>
      <x:c r="U50" s="14" t="str">
        <x:v>prompt_tr_v0.1</x:v>
      </x:c>
      <x:c r="V50" s="14" t="str">
        <x:v>scorer_tr_v0.1</x:v>
      </x:c>
    </x:row>
    <x:row r="51">
      <x:c r="A51" s="14" t="str">
        <x:v>PILOT-M2-D011</x:v>
      </x:c>
      <x:c r="B51" s="14" t="str">
        <x:v>M2</x:v>
      </x:c>
      <x:c r="C51" s="14" t="str">
        <x:v>openai/gpt-oss-120b</x:v>
      </x:c>
      <x:c r="D51" s="14" t="str"/>
      <x:c r="E51" s="14" t="str"/>
      <x:c r="F51" s="14" t="str">
        <x:v>D011</x:v>
      </x:c>
      <x:c r="G51" s="14" t="str">
        <x:v>Çiftin komşularına</x:v>
      </x:c>
      <x:c r="H51" s="14" t="str">
        <x:v>çiftin komşularına | yeni evli çiftin komşularına | komşulara</x:v>
      </x:c>
      <x:c r="I51" s="15" t="str"/>
      <x:c r="J51" s="15" t="str"/>
      <x:c r="K51" s="15" t="str"/>
      <x:c r="L51" s="15" t="str"/>
      <x:c r="M51" s="15" t="str"/>
      <x:c r="N51" s="15" t="str"/>
      <x:c r="O51" s="15" t="str"/>
      <x:c r="P51" s="15" t="str"/>
      <x:c r="Q51" s="14" t="str"/>
      <x:c r="R51" s="14" t="str"/>
      <x:c r="S51" s="14" t="str"/>
      <x:c r="T51" s="14" t="str">
        <x:v>pending</x:v>
      </x:c>
      <x:c r="U51" s="14" t="str">
        <x:v>prompt_tr_v0.1</x:v>
      </x:c>
      <x:c r="V51" s="14" t="str">
        <x:v>scorer_tr_v0.1</x:v>
      </x:c>
    </x:row>
    <x:row r="52">
      <x:c r="A52" s="14" t="str">
        <x:v>PILOT-M2-D012</x:v>
      </x:c>
      <x:c r="B52" s="14" t="str">
        <x:v>M2</x:v>
      </x:c>
      <x:c r="C52" s="14" t="str">
        <x:v>openai/gpt-oss-120b</x:v>
      </x:c>
      <x:c r="D52" s="14" t="str"/>
      <x:c r="E52" s="14" t="str"/>
      <x:c r="F52" s="14" t="str">
        <x:v>D012</x:v>
      </x:c>
      <x:c r="G52" s="14" t="str">
        <x:v>Davul ve zurna</x:v>
      </x:c>
      <x:c r="H52" s="14" t="str">
        <x:v>davul ve zurna | zurna ve davul</x:v>
      </x:c>
      <x:c r="I52" s="15" t="str"/>
      <x:c r="J52" s="15" t="str"/>
      <x:c r="K52" s="15" t="str"/>
      <x:c r="L52" s="15" t="str"/>
      <x:c r="M52" s="15" t="str"/>
      <x:c r="N52" s="15" t="str"/>
      <x:c r="O52" s="15" t="str"/>
      <x:c r="P52" s="15" t="str"/>
      <x:c r="Q52" s="14" t="str"/>
      <x:c r="R52" s="14" t="str"/>
      <x:c r="S52" s="14" t="str"/>
      <x:c r="T52" s="14" t="str">
        <x:v>pending</x:v>
      </x:c>
      <x:c r="U52" s="14" t="str">
        <x:v>prompt_tr_v0.1</x:v>
      </x:c>
      <x:c r="V52" s="14" t="str">
        <x:v>scorer_tr_v0.1</x:v>
      </x:c>
    </x:row>
    <x:row r="53">
      <x:c r="A53" s="14" t="str">
        <x:v>PILOT-M2-D013</x:v>
      </x:c>
      <x:c r="B53" s="14" t="str">
        <x:v>M2</x:v>
      </x:c>
      <x:c r="C53" s="14" t="str">
        <x:v>openai/gpt-oss-120b</x:v>
      </x:c>
      <x:c r="D53" s="14" t="str"/>
      <x:c r="E53" s="14" t="str"/>
      <x:c r="F53" s="14" t="str">
        <x:v>D013</x:v>
      </x:c>
      <x:c r="G53" s="14" t="str">
        <x:v>Bolluk ve bereket</x:v>
      </x:c>
      <x:c r="H53" s="14" t="str">
        <x:v>bolluk ve bereket | bereket ve bolluk</x:v>
      </x:c>
      <x:c r="I53" s="15" t="str"/>
      <x:c r="J53" s="15" t="str"/>
      <x:c r="K53" s="15" t="str"/>
      <x:c r="L53" s="15" t="str"/>
      <x:c r="M53" s="15" t="str"/>
      <x:c r="N53" s="15" t="str"/>
      <x:c r="O53" s="15" t="str"/>
      <x:c r="P53" s="15" t="str"/>
      <x:c r="Q53" s="14" t="str"/>
      <x:c r="R53" s="14" t="str"/>
      <x:c r="S53" s="14" t="str"/>
      <x:c r="T53" s="14" t="str">
        <x:v>pending</x:v>
      </x:c>
      <x:c r="U53" s="14" t="str">
        <x:v>prompt_tr_v0.1</x:v>
      </x:c>
      <x:c r="V53" s="14" t="str">
        <x:v>scorer_tr_v0.1</x:v>
      </x:c>
    </x:row>
    <x:row r="54">
      <x:c r="A54" s="14" t="str">
        <x:v>PILOT-M2-D014</x:v>
      </x:c>
      <x:c r="B54" s="14" t="str">
        <x:v>M2</x:v>
      </x:c>
      <x:c r="C54" s="14" t="str">
        <x:v>openai/gpt-oss-120b</x:v>
      </x:c>
      <x:c r="D54" s="14" t="str"/>
      <x:c r="E54" s="14" t="str"/>
      <x:c r="F54" s="14" t="str">
        <x:v>D014</x:v>
      </x:c>
      <x:c r="G54" s="14" t="str">
        <x:v>Hasta ve yaşlılar</x:v>
      </x:c>
      <x:c r="H54" s="14" t="str">
        <x:v>hasta ve yaşlılar | yaşlı ve hastalar | hastalara ve yaşlılara | yaşlılara ve hastalara</x:v>
      </x:c>
      <x:c r="I54" s="15" t="str"/>
      <x:c r="J54" s="15" t="str"/>
      <x:c r="K54" s="15" t="str"/>
      <x:c r="L54" s="15" t="str"/>
      <x:c r="M54" s="15" t="str"/>
      <x:c r="N54" s="15" t="str"/>
      <x:c r="O54" s="15" t="str"/>
      <x:c r="P54" s="15" t="str"/>
      <x:c r="Q54" s="14" t="str"/>
      <x:c r="R54" s="14" t="str"/>
      <x:c r="S54" s="14" t="str"/>
      <x:c r="T54" s="14" t="str">
        <x:v>pending</x:v>
      </x:c>
      <x:c r="U54" s="14" t="str">
        <x:v>prompt_tr_v0.1</x:v>
      </x:c>
      <x:c r="V54" s="14" t="str">
        <x:v>scorer_tr_v0.1</x:v>
      </x:c>
    </x:row>
    <x:row r="55">
      <x:c r="A55" s="14" t="str">
        <x:v>PILOT-M2-D015</x:v>
      </x:c>
      <x:c r="B55" s="14" t="str">
        <x:v>M2</x:v>
      </x:c>
      <x:c r="C55" s="14" t="str">
        <x:v>openai/gpt-oss-120b</x:v>
      </x:c>
      <x:c r="D55" s="14" t="str"/>
      <x:c r="E55" s="14" t="str"/>
      <x:c r="F55" s="14" t="str">
        <x:v>D015</x:v>
      </x:c>
      <x:c r="G55" s="14" t="str">
        <x:v>Humus Tası</x:v>
      </x:c>
      <x:c r="H55" s="14" t="str">
        <x:v>humus tası | humus tasi</x:v>
      </x:c>
      <x:c r="I55" s="15" t="str"/>
      <x:c r="J55" s="15" t="str"/>
      <x:c r="K55" s="15" t="str"/>
      <x:c r="L55" s="15" t="str"/>
      <x:c r="M55" s="15" t="str"/>
      <x:c r="N55" s="15" t="str"/>
      <x:c r="O55" s="15" t="str"/>
      <x:c r="P55" s="15" t="str"/>
      <x:c r="Q55" s="14" t="str"/>
      <x:c r="R55" s="14" t="str"/>
      <x:c r="S55" s="14" t="str"/>
      <x:c r="T55" s="14" t="str">
        <x:v>pending</x:v>
      </x:c>
      <x:c r="U55" s="14" t="str">
        <x:v>prompt_tr_v0.1</x:v>
      </x:c>
      <x:c r="V55" s="14" t="str">
        <x:v>scorer_tr_v0.1</x:v>
      </x:c>
    </x:row>
    <x:row r="56">
      <x:c r="A56" s="14" t="str">
        <x:v>PILOT-M2-D016</x:v>
      </x:c>
      <x:c r="B56" s="14" t="str">
        <x:v>M2</x:v>
      </x:c>
      <x:c r="C56" s="14" t="str">
        <x:v>openai/gpt-oss-120b</x:v>
      </x:c>
      <x:c r="D56" s="14" t="str"/>
      <x:c r="E56" s="14" t="str"/>
      <x:c r="F56" s="14" t="str">
        <x:v>D016</x:v>
      </x:c>
      <x:c r="G56" s="14" t="str">
        <x:v>Lokma dökmek</x:v>
      </x:c>
      <x:c r="H56" s="14" t="str">
        <x:v>lokma dökmek | lokma döktürmek</x:v>
      </x:c>
      <x:c r="I56" s="15" t="str"/>
      <x:c r="J56" s="15" t="str"/>
      <x:c r="K56" s="15" t="str"/>
      <x:c r="L56" s="15" t="str"/>
      <x:c r="M56" s="15" t="str"/>
      <x:c r="N56" s="15" t="str"/>
      <x:c r="O56" s="15" t="str"/>
      <x:c r="P56" s="15" t="str"/>
      <x:c r="Q56" s="14" t="str"/>
      <x:c r="R56" s="14" t="str"/>
      <x:c r="S56" s="14" t="str"/>
      <x:c r="T56" s="14" t="str">
        <x:v>pending</x:v>
      </x:c>
      <x:c r="U56" s="14" t="str">
        <x:v>prompt_tr_v0.1</x:v>
      </x:c>
      <x:c r="V56" s="14" t="str">
        <x:v>scorer_tr_v0.1</x:v>
      </x:c>
    </x:row>
    <x:row r="57">
      <x:c r="A57" s="14" t="str">
        <x:v>PILOT-M2-D017</x:v>
      </x:c>
      <x:c r="B57" s="14" t="str">
        <x:v>M2</x:v>
      </x:c>
      <x:c r="C57" s="14" t="str">
        <x:v>openai/gpt-oss-120b</x:v>
      </x:c>
      <x:c r="D57" s="14" t="str"/>
      <x:c r="E57" s="14" t="str"/>
      <x:c r="F57" s="14" t="str">
        <x:v>D017</x:v>
      </x:c>
      <x:c r="G57" s="14" t="str">
        <x:v>Gömlek</x:v>
      </x:c>
      <x:c r="H57" s="14" t="str">
        <x:v>gömlek | çember</x:v>
      </x:c>
      <x:c r="I57" s="15" t="str"/>
      <x:c r="J57" s="15" t="str"/>
      <x:c r="K57" s="15" t="str"/>
      <x:c r="L57" s="15" t="str"/>
      <x:c r="M57" s="15" t="str"/>
      <x:c r="N57" s="15" t="str"/>
      <x:c r="O57" s="15" t="str"/>
      <x:c r="P57" s="15" t="str"/>
      <x:c r="Q57" s="14" t="str"/>
      <x:c r="R57" s="14" t="str"/>
      <x:c r="S57" s="14" t="str"/>
      <x:c r="T57" s="14" t="str">
        <x:v>pending</x:v>
      </x:c>
      <x:c r="U57" s="14" t="str">
        <x:v>prompt_tr_v0.1</x:v>
      </x:c>
      <x:c r="V57" s="14" t="str">
        <x:v>scorer_tr_v0.1</x:v>
      </x:c>
    </x:row>
    <x:row r="58">
      <x:c r="A58" s="14" t="str">
        <x:v>PILOT-M2-D018</x:v>
      </x:c>
      <x:c r="B58" s="14" t="str">
        <x:v>M2</x:v>
      </x:c>
      <x:c r="C58" s="14" t="str">
        <x:v>openai/gpt-oss-120b</x:v>
      </x:c>
      <x:c r="D58" s="14" t="str"/>
      <x:c r="E58" s="14" t="str"/>
      <x:c r="F58" s="14" t="str">
        <x:v>D018</x:v>
      </x:c>
      <x:c r="G58" s="14" t="str">
        <x:v>Cücük</x:v>
      </x:c>
      <x:c r="H58" s="14" t="str">
        <x:v>cücük</x:v>
      </x:c>
      <x:c r="I58" s="15" t="str"/>
      <x:c r="J58" s="15" t="str"/>
      <x:c r="K58" s="15" t="str"/>
      <x:c r="L58" s="15" t="str"/>
      <x:c r="M58" s="15" t="str"/>
      <x:c r="N58" s="15" t="str"/>
      <x:c r="O58" s="15" t="str"/>
      <x:c r="P58" s="15" t="str"/>
      <x:c r="Q58" s="14" t="str"/>
      <x:c r="R58" s="14" t="str"/>
      <x:c r="S58" s="14" t="str"/>
      <x:c r="T58" s="14" t="str">
        <x:v>pending</x:v>
      </x:c>
      <x:c r="U58" s="14" t="str">
        <x:v>prompt_tr_v0.1</x:v>
      </x:c>
      <x:c r="V58" s="14" t="str">
        <x:v>scorer_tr_v0.1</x:v>
      </x:c>
    </x:row>
    <x:row r="59">
      <x:c r="A59" s="14" t="str">
        <x:v>PILOT-M2-D019</x:v>
      </x:c>
      <x:c r="B59" s="14" t="str">
        <x:v>M2</x:v>
      </x:c>
      <x:c r="C59" s="14" t="str">
        <x:v>openai/gpt-oss-120b</x:v>
      </x:c>
      <x:c r="D59" s="14" t="str"/>
      <x:c r="E59" s="14" t="str"/>
      <x:c r="F59" s="14" t="str">
        <x:v>D019</x:v>
      </x:c>
      <x:c r="G59" s="14" t="str">
        <x:v>Mamaliga</x:v>
      </x:c>
      <x:c r="H59" s="14" t="str">
        <x:v>mamaliga</x:v>
      </x:c>
      <x:c r="I59" s="15" t="str"/>
      <x:c r="J59" s="15" t="str"/>
      <x:c r="K59" s="15" t="str"/>
      <x:c r="L59" s="15" t="str"/>
      <x:c r="M59" s="15" t="str"/>
      <x:c r="N59" s="15" t="str"/>
      <x:c r="O59" s="15" t="str"/>
      <x:c r="P59" s="15" t="str"/>
      <x:c r="Q59" s="14" t="str"/>
      <x:c r="R59" s="14" t="str"/>
      <x:c r="S59" s="14" t="str"/>
      <x:c r="T59" s="14" t="str">
        <x:v>pending</x:v>
      </x:c>
      <x:c r="U59" s="14" t="str">
        <x:v>prompt_tr_v0.1</x:v>
      </x:c>
      <x:c r="V59" s="14" t="str">
        <x:v>scorer_tr_v0.1</x:v>
      </x:c>
    </x:row>
    <x:row r="60">
      <x:c r="A60" s="14" t="str">
        <x:v>PILOT-M2-D020</x:v>
      </x:c>
      <x:c r="B60" s="14" t="str">
        <x:v>M2</x:v>
      </x:c>
      <x:c r="C60" s="14" t="str">
        <x:v>openai/gpt-oss-120b</x:v>
      </x:c>
      <x:c r="D60" s="14" t="str"/>
      <x:c r="E60" s="14" t="str"/>
      <x:c r="F60" s="14" t="str">
        <x:v>D020</x:v>
      </x:c>
      <x:c r="G60" s="14" t="str">
        <x:v>Takım</x:v>
      </x:c>
      <x:c r="H60" s="14" t="str">
        <x:v>takım</x:v>
      </x:c>
      <x:c r="I60" s="15" t="str"/>
      <x:c r="J60" s="15" t="str"/>
      <x:c r="K60" s="15" t="str"/>
      <x:c r="L60" s="15" t="str"/>
      <x:c r="M60" s="15" t="str"/>
      <x:c r="N60" s="15" t="str"/>
      <x:c r="O60" s="15" t="str"/>
      <x:c r="P60" s="15" t="str"/>
      <x:c r="Q60" s="14" t="str"/>
      <x:c r="R60" s="14" t="str"/>
      <x:c r="S60" s="14" t="str"/>
      <x:c r="T60" s="14" t="str">
        <x:v>pending</x:v>
      </x:c>
      <x:c r="U60" s="14" t="str">
        <x:v>prompt_tr_v0.1</x:v>
      </x:c>
      <x:c r="V60" s="14" t="str">
        <x:v>scorer_tr_v0.1</x:v>
      </x:c>
    </x:row>
    <x:row r="61">
      <x:c r="A61" s="14" t="str">
        <x:v>PILOT-M2-D021</x:v>
      </x:c>
      <x:c r="B61" s="14" t="str">
        <x:v>M2</x:v>
      </x:c>
      <x:c r="C61" s="14" t="str">
        <x:v>openai/gpt-oss-120b</x:v>
      </x:c>
      <x:c r="D61" s="14" t="str"/>
      <x:c r="E61" s="14" t="str"/>
      <x:c r="F61" s="14" t="str">
        <x:v>D021</x:v>
      </x:c>
      <x:c r="G61" s="14" t="str">
        <x:v>Zinardı daveti</x:v>
      </x:c>
      <x:c r="H61" s="14" t="str">
        <x:v>zinardı daveti | zinardı | sini ardı daveti | sini ardı</x:v>
      </x:c>
      <x:c r="I61" s="15" t="str"/>
      <x:c r="J61" s="15" t="str"/>
      <x:c r="K61" s="15" t="str"/>
      <x:c r="L61" s="15" t="str"/>
      <x:c r="M61" s="15" t="str"/>
      <x:c r="N61" s="15" t="str"/>
      <x:c r="O61" s="15" t="str"/>
      <x:c r="P61" s="15" t="str"/>
      <x:c r="Q61" s="14" t="str"/>
      <x:c r="R61" s="14" t="str"/>
      <x:c r="S61" s="14" t="str"/>
      <x:c r="T61" s="14" t="str">
        <x:v>pending</x:v>
      </x:c>
      <x:c r="U61" s="14" t="str">
        <x:v>prompt_tr_v0.1</x:v>
      </x:c>
      <x:c r="V61" s="14" t="str">
        <x:v>scorer_tr_v0.1</x:v>
      </x:c>
    </x:row>
    <x:row r="62">
      <x:c r="A62" s="14" t="str">
        <x:v>PILOT-M2-D022</x:v>
      </x:c>
      <x:c r="B62" s="14" t="str">
        <x:v>M2</x:v>
      </x:c>
      <x:c r="C62" s="14" t="str">
        <x:v>openai/gpt-oss-120b</x:v>
      </x:c>
      <x:c r="D62" s="14" t="str"/>
      <x:c r="E62" s="14" t="str"/>
      <x:c r="F62" s="14" t="str">
        <x:v>D022</x:v>
      </x:c>
      <x:c r="G62" s="14" t="str">
        <x:v>Yemek kurtarma</x:v>
      </x:c>
      <x:c r="H62" s="14" t="str">
        <x:v>yemek kurtarma</x:v>
      </x:c>
      <x:c r="I62" s="15" t="str"/>
      <x:c r="J62" s="15" t="str"/>
      <x:c r="K62" s="15" t="str"/>
      <x:c r="L62" s="15" t="str"/>
      <x:c r="M62" s="15" t="str"/>
      <x:c r="N62" s="15" t="str"/>
      <x:c r="O62" s="15" t="str"/>
      <x:c r="P62" s="15" t="str"/>
      <x:c r="Q62" s="14" t="str"/>
      <x:c r="R62" s="14" t="str"/>
      <x:c r="S62" s="14" t="str"/>
      <x:c r="T62" s="14" t="str">
        <x:v>pending</x:v>
      </x:c>
      <x:c r="U62" s="14" t="str">
        <x:v>prompt_tr_v0.1</x:v>
      </x:c>
      <x:c r="V62" s="14" t="str">
        <x:v>scorer_tr_v0.1</x:v>
      </x:c>
    </x:row>
    <x:row r="63">
      <x:c r="A63" s="14" t="str">
        <x:v>PILOT-M2-D023</x:v>
      </x:c>
      <x:c r="B63" s="14" t="str">
        <x:v>M2</x:v>
      </x:c>
      <x:c r="C63" s="14" t="str">
        <x:v>openai/gpt-oss-120b</x:v>
      </x:c>
      <x:c r="D63" s="14" t="str"/>
      <x:c r="E63" s="14" t="str"/>
      <x:c r="F63" s="14" t="str">
        <x:v>D023</x:v>
      </x:c>
      <x:c r="G63" s="14" t="str">
        <x:v>Kaymak</x:v>
      </x:c>
      <x:c r="H63" s="14" t="str">
        <x:v>kaymak</x:v>
      </x:c>
      <x:c r="I63" s="15" t="str"/>
      <x:c r="J63" s="15" t="str"/>
      <x:c r="K63" s="15" t="str"/>
      <x:c r="L63" s="15" t="str"/>
      <x:c r="M63" s="15" t="str"/>
      <x:c r="N63" s="15" t="str"/>
      <x:c r="O63" s="15" t="str"/>
      <x:c r="P63" s="15" t="str"/>
      <x:c r="Q63" s="14" t="str"/>
      <x:c r="R63" s="14" t="str"/>
      <x:c r="S63" s="14" t="str"/>
      <x:c r="T63" s="14" t="str">
        <x:v>pending</x:v>
      </x:c>
      <x:c r="U63" s="14" t="str">
        <x:v>prompt_tr_v0.1</x:v>
      </x:c>
      <x:c r="V63" s="14" t="str">
        <x:v>scorer_tr_v0.1</x:v>
      </x:c>
    </x:row>
    <x:row r="64">
      <x:c r="A64" s="14" t="str">
        <x:v>PILOT-M2-D024</x:v>
      </x:c>
      <x:c r="B64" s="14" t="str">
        <x:v>M2</x:v>
      </x:c>
      <x:c r="C64" s="14" t="str">
        <x:v>openai/gpt-oss-120b</x:v>
      </x:c>
      <x:c r="D64" s="14" t="str"/>
      <x:c r="E64" s="14" t="str"/>
      <x:c r="F64" s="14" t="str">
        <x:v>D024</x:v>
      </x:c>
      <x:c r="G64" s="14" t="str">
        <x:v>Pişirme ve soğutma sonrasında</x:v>
      </x:c>
      <x:c r="H64" s="14" t="str">
        <x:v>pişirme ve soğutma sonrasında | pişirmeden ve soğutmadan sonra | dövme pişirilip soğutulduktan sonra | pişmiş dövme soğutulduktan sonra</x:v>
      </x:c>
      <x:c r="I64" s="15" t="str"/>
      <x:c r="J64" s="15" t="str"/>
      <x:c r="K64" s="15" t="str"/>
      <x:c r="L64" s="15" t="str"/>
      <x:c r="M64" s="15" t="str"/>
      <x:c r="N64" s="15" t="str"/>
      <x:c r="O64" s="15" t="str"/>
      <x:c r="P64" s="15" t="str"/>
      <x:c r="Q64" s="14" t="str"/>
      <x:c r="R64" s="14" t="str"/>
      <x:c r="S64" s="14" t="str"/>
      <x:c r="T64" s="14" t="str">
        <x:v>pending</x:v>
      </x:c>
      <x:c r="U64" s="14" t="str">
        <x:v>prompt_tr_v0.1</x:v>
      </x:c>
      <x:c r="V64" s="14" t="str">
        <x:v>scorer_tr_v0.1</x:v>
      </x:c>
    </x:row>
    <x:row r="65">
      <x:c r="A65" s="14" t="str">
        <x:v>PILOT-M2-D025</x:v>
      </x:c>
      <x:c r="B65" s="14" t="str">
        <x:v>M2</x:v>
      </x:c>
      <x:c r="C65" s="14" t="str">
        <x:v>openai/gpt-oss-120b</x:v>
      </x:c>
      <x:c r="D65" s="14" t="str"/>
      <x:c r="E65" s="14" t="str"/>
      <x:c r="F65" s="14" t="str">
        <x:v>D025</x:v>
      </x:c>
      <x:c r="G65" s="14" t="str">
        <x:v>Sığır bağırsağı</x:v>
      </x:c>
      <x:c r="H65" s="14" t="str">
        <x:v>sığır bağırsağı | sığır bağırsağına</x:v>
      </x:c>
      <x:c r="I65" s="15" t="str"/>
      <x:c r="J65" s="15" t="str"/>
      <x:c r="K65" s="15" t="str"/>
      <x:c r="L65" s="15" t="str"/>
      <x:c r="M65" s="15" t="str"/>
      <x:c r="N65" s="15" t="str"/>
      <x:c r="O65" s="15" t="str"/>
      <x:c r="P65" s="15" t="str"/>
      <x:c r="Q65" s="14" t="str"/>
      <x:c r="R65" s="14" t="str"/>
      <x:c r="S65" s="14" t="str"/>
      <x:c r="T65" s="14" t="str">
        <x:v>pending</x:v>
      </x:c>
      <x:c r="U65" s="14" t="str">
        <x:v>prompt_tr_v0.1</x:v>
      </x:c>
      <x:c r="V65" s="14" t="str">
        <x:v>scorer_tr_v0.1</x:v>
      </x:c>
    </x:row>
    <x:row r="66">
      <x:c r="A66" s="14" t="str">
        <x:v>PILOT-M2-D026</x:v>
      </x:c>
      <x:c r="B66" s="14" t="str">
        <x:v>M2</x:v>
      </x:c>
      <x:c r="C66" s="14" t="str">
        <x:v>openai/gpt-oss-120b</x:v>
      </x:c>
      <x:c r="D66" s="14" t="str"/>
      <x:c r="E66" s="14" t="str"/>
      <x:c r="F66" s="14" t="str">
        <x:v>D026</x:v>
      </x:c>
      <x:c r="G66" s="14" t="str">
        <x:v>Meşe odunu</x:v>
      </x:c>
      <x:c r="H66" s="14" t="str">
        <x:v>meşe odunu | meşe</x:v>
      </x:c>
      <x:c r="I66" s="15" t="str"/>
      <x:c r="J66" s="15" t="str"/>
      <x:c r="K66" s="15" t="str"/>
      <x:c r="L66" s="15" t="str"/>
      <x:c r="M66" s="15" t="str"/>
      <x:c r="N66" s="15" t="str"/>
      <x:c r="O66" s="15" t="str"/>
      <x:c r="P66" s="15" t="str"/>
      <x:c r="Q66" s="14" t="str"/>
      <x:c r="R66" s="14" t="str"/>
      <x:c r="S66" s="14" t="str"/>
      <x:c r="T66" s="14" t="str">
        <x:v>pending</x:v>
      </x:c>
      <x:c r="U66" s="14" t="str">
        <x:v>prompt_tr_v0.1</x:v>
      </x:c>
      <x:c r="V66" s="14" t="str">
        <x:v>scorer_tr_v0.1</x:v>
      </x:c>
    </x:row>
    <x:row r="67">
      <x:c r="A67" s="14" t="str">
        <x:v>PILOT-M2-D027</x:v>
      </x:c>
      <x:c r="B67" s="14" t="str">
        <x:v>M2</x:v>
      </x:c>
      <x:c r="C67" s="14" t="str">
        <x:v>openai/gpt-oss-120b</x:v>
      </x:c>
      <x:c r="D67" s="14" t="str"/>
      <x:c r="E67" s="14" t="str"/>
      <x:c r="F67" s="14" t="str">
        <x:v>D027</x:v>
      </x:c>
      <x:c r="G67" s="14" t="str">
        <x:v>Fındık kabuğu</x:v>
      </x:c>
      <x:c r="H67" s="14" t="str">
        <x:v>fındık kabuğu | fındık kabuğu ateşi | fındık kabuğu ateşinde</x:v>
      </x:c>
      <x:c r="I67" s="15" t="str"/>
      <x:c r="J67" s="15" t="str"/>
      <x:c r="K67" s="15" t="str"/>
      <x:c r="L67" s="15" t="str"/>
      <x:c r="M67" s="15" t="str"/>
      <x:c r="N67" s="15" t="str"/>
      <x:c r="O67" s="15" t="str"/>
      <x:c r="P67" s="15" t="str"/>
      <x:c r="Q67" s="14" t="str"/>
      <x:c r="R67" s="14" t="str"/>
      <x:c r="S67" s="14" t="str"/>
      <x:c r="T67" s="14" t="str">
        <x:v>pending</x:v>
      </x:c>
      <x:c r="U67" s="14" t="str">
        <x:v>prompt_tr_v0.1</x:v>
      </x:c>
      <x:c r="V67" s="14" t="str">
        <x:v>scorer_tr_v0.1</x:v>
      </x:c>
    </x:row>
    <x:row r="68">
      <x:c r="A68" s="14" t="str">
        <x:v>PILOT-M2-D028</x:v>
      </x:c>
      <x:c r="B68" s="14" t="str">
        <x:v>M2</x:v>
      </x:c>
      <x:c r="C68" s="14" t="str">
        <x:v>openai/gpt-oss-120b</x:v>
      </x:c>
      <x:c r="D68" s="14" t="str"/>
      <x:c r="E68" s="14" t="str"/>
      <x:c r="F68" s="14" t="str">
        <x:v>D028</x:v>
      </x:c>
      <x:c r="G68" s="14" t="str">
        <x:v>Çöven</x:v>
      </x:c>
      <x:c r="H68" s="14" t="str">
        <x:v>çöven | çöğen</x:v>
      </x:c>
      <x:c r="I68" s="15" t="str"/>
      <x:c r="J68" s="15" t="str"/>
      <x:c r="K68" s="15" t="str"/>
      <x:c r="L68" s="15" t="str"/>
      <x:c r="M68" s="15" t="str"/>
      <x:c r="N68" s="15" t="str"/>
      <x:c r="O68" s="15" t="str"/>
      <x:c r="P68" s="15" t="str"/>
      <x:c r="Q68" s="14" t="str"/>
      <x:c r="R68" s="14" t="str"/>
      <x:c r="S68" s="14" t="str"/>
      <x:c r="T68" s="14" t="str">
        <x:v>pending</x:v>
      </x:c>
      <x:c r="U68" s="14" t="str">
        <x:v>prompt_tr_v0.1</x:v>
      </x:c>
      <x:c r="V68" s="14" t="str">
        <x:v>scorer_tr_v0.1</x:v>
      </x:c>
    </x:row>
    <x:row r="69">
      <x:c r="A69" s="14" t="str">
        <x:v>PILOT-M2-D029</x:v>
      </x:c>
      <x:c r="B69" s="14" t="str">
        <x:v>M2</x:v>
      </x:c>
      <x:c r="C69" s="14" t="str">
        <x:v>openai/gpt-oss-120b</x:v>
      </x:c>
      <x:c r="D69" s="14" t="str"/>
      <x:c r="E69" s="14" t="str"/>
      <x:c r="F69" s="14" t="str">
        <x:v>D029</x:v>
      </x:c>
      <x:c r="G69" s="14" t="str">
        <x:v>Fal bakmak</x:v>
      </x:c>
      <x:c r="H69" s="14" t="str">
        <x:v>fal bakmak | kahve falı | kahve falı bakmak | falcılık</x:v>
      </x:c>
      <x:c r="I69" s="15" t="str"/>
      <x:c r="J69" s="15" t="str"/>
      <x:c r="K69" s="15" t="str"/>
      <x:c r="L69" s="15" t="str"/>
      <x:c r="M69" s="15" t="str"/>
      <x:c r="N69" s="15" t="str"/>
      <x:c r="O69" s="15" t="str"/>
      <x:c r="P69" s="15" t="str"/>
      <x:c r="Q69" s="14" t="str"/>
      <x:c r="R69" s="14" t="str"/>
      <x:c r="S69" s="14" t="str"/>
      <x:c r="T69" s="14" t="str">
        <x:v>pending</x:v>
      </x:c>
      <x:c r="U69" s="14" t="str">
        <x:v>prompt_tr_v0.1</x:v>
      </x:c>
      <x:c r="V69" s="14" t="str">
        <x:v>scorer_tr_v0.1</x:v>
      </x:c>
    </x:row>
    <x:row r="70">
      <x:c r="A70" s="14" t="str">
        <x:v>PILOT-M2-D030</x:v>
      </x:c>
      <x:c r="B70" s="14" t="str">
        <x:v>M2</x:v>
      </x:c>
      <x:c r="C70" s="14" t="str">
        <x:v>openai/gpt-oss-120b</x:v>
      </x:c>
      <x:c r="D70" s="14" t="str"/>
      <x:c r="E70" s="14" t="str"/>
      <x:c r="F70" s="14" t="str">
        <x:v>D030</x:v>
      </x:c>
      <x:c r="G70" s="14" t="str">
        <x:v>Azerbaycan</x:v>
      </x:c>
      <x:c r="H70" s="14" t="str">
        <x:v>azerbaycan | azerbaijan</x:v>
      </x:c>
      <x:c r="I70" s="15" t="str"/>
      <x:c r="J70" s="15" t="str"/>
      <x:c r="K70" s="15" t="str"/>
      <x:c r="L70" s="15" t="str"/>
      <x:c r="M70" s="15" t="str"/>
      <x:c r="N70" s="15" t="str"/>
      <x:c r="O70" s="15" t="str"/>
      <x:c r="P70" s="15" t="str"/>
      <x:c r="Q70" s="14" t="str"/>
      <x:c r="R70" s="14" t="str"/>
      <x:c r="S70" s="14" t="str"/>
      <x:c r="T70" s="14" t="str">
        <x:v>pending</x:v>
      </x:c>
      <x:c r="U70" s="14" t="str">
        <x:v>prompt_tr_v0.1</x:v>
      </x:c>
      <x:c r="V70" s="14" t="str">
        <x:v>scorer_tr_v0.1</x:v>
      </x:c>
    </x:row>
    <x:row r="71">
      <x:c r="A71" s="14" t="str">
        <x:v>PILOT-M2-D031</x:v>
      </x:c>
      <x:c r="B71" s="14" t="str">
        <x:v>M2</x:v>
      </x:c>
      <x:c r="C71" s="14" t="str">
        <x:v>openai/gpt-oss-120b</x:v>
      </x:c>
      <x:c r="D71" s="14" t="str"/>
      <x:c r="E71" s="14" t="str"/>
      <x:c r="F71" s="14" t="str">
        <x:v>D031</x:v>
      </x:c>
      <x:c r="G71" s="14" t="str">
        <x:v>Usta-çırak</x:v>
      </x:c>
      <x:c r="H71" s="14" t="str">
        <x:v>usta-çırak | usta çırak | ustadan çırağa | usta-çırak ilişkisi</x:v>
      </x:c>
      <x:c r="I71" s="15" t="str"/>
      <x:c r="J71" s="15" t="str"/>
      <x:c r="K71" s="15" t="str"/>
      <x:c r="L71" s="15" t="str"/>
      <x:c r="M71" s="15" t="str"/>
      <x:c r="N71" s="15" t="str"/>
      <x:c r="O71" s="15" t="str"/>
      <x:c r="P71" s="15" t="str"/>
      <x:c r="Q71" s="14" t="str"/>
      <x:c r="R71" s="14" t="str"/>
      <x:c r="S71" s="14" t="str"/>
      <x:c r="T71" s="14" t="str">
        <x:v>pending</x:v>
      </x:c>
      <x:c r="U71" s="14" t="str">
        <x:v>prompt_tr_v0.1</x:v>
      </x:c>
      <x:c r="V71" s="14" t="str">
        <x:v>scorer_tr_v0.1</x:v>
      </x:c>
    </x:row>
    <x:row r="72">
      <x:c r="A72" s="14" t="str">
        <x:v>PILOT-M2-D032</x:v>
      </x:c>
      <x:c r="B72" s="14" t="str">
        <x:v>M2</x:v>
      </x:c>
      <x:c r="C72" s="14" t="str">
        <x:v>openai/gpt-oss-120b</x:v>
      </x:c>
      <x:c r="D72" s="14" t="str"/>
      <x:c r="E72" s="14" t="str"/>
      <x:c r="F72" s="14" t="str">
        <x:v>D032</x:v>
      </x:c>
      <x:c r="G72" s="14" t="str">
        <x:v>Dua</x:v>
      </x:c>
      <x:c r="H72" s="14" t="str">
        <x:v>dua | dualar | dua ederek | dualarla</x:v>
      </x:c>
      <x:c r="I72" s="15" t="str"/>
      <x:c r="J72" s="15" t="str"/>
      <x:c r="K72" s="15" t="str"/>
      <x:c r="L72" s="15" t="str"/>
      <x:c r="M72" s="15" t="str"/>
      <x:c r="N72" s="15" t="str"/>
      <x:c r="O72" s="15" t="str"/>
      <x:c r="P72" s="15" t="str"/>
      <x:c r="Q72" s="14" t="str"/>
      <x:c r="R72" s="14" t="str"/>
      <x:c r="S72" s="14" t="str"/>
      <x:c r="T72" s="14" t="str">
        <x:v>pending</x:v>
      </x:c>
      <x:c r="U72" s="14" t="str">
        <x:v>prompt_tr_v0.1</x:v>
      </x:c>
      <x:c r="V72" s="14" t="str">
        <x:v>scorer_tr_v0.1</x:v>
      </x:c>
    </x:row>
    <x:row r="73">
      <x:c r="A73" s="14" t="str">
        <x:v>PILOT-M2-D033</x:v>
      </x:c>
      <x:c r="B73" s="14" t="str">
        <x:v>M2</x:v>
      </x:c>
      <x:c r="C73" s="14" t="str">
        <x:v>openai/gpt-oss-120b</x:v>
      </x:c>
      <x:c r="D73" s="14" t="str"/>
      <x:c r="E73" s="14" t="str"/>
      <x:c r="F73" s="14" t="str">
        <x:v>D033</x:v>
      </x:c>
      <x:c r="G73" s="14" t="str">
        <x:v>Hafsa Sultan</x:v>
      </x:c>
      <x:c r="H73" s="14" t="str">
        <x:v>hafsa sultan | ayşe hafsa sultan</x:v>
      </x:c>
      <x:c r="I73" s="15" t="str"/>
      <x:c r="J73" s="15" t="str"/>
      <x:c r="K73" s="15" t="str"/>
      <x:c r="L73" s="15" t="str"/>
      <x:c r="M73" s="15" t="str"/>
      <x:c r="N73" s="15" t="str"/>
      <x:c r="O73" s="15" t="str"/>
      <x:c r="P73" s="15" t="str"/>
      <x:c r="Q73" s="14" t="str"/>
      <x:c r="R73" s="14" t="str"/>
      <x:c r="S73" s="14" t="str"/>
      <x:c r="T73" s="14" t="str">
        <x:v>pending</x:v>
      </x:c>
      <x:c r="U73" s="14" t="str">
        <x:v>prompt_tr_v0.1</x:v>
      </x:c>
      <x:c r="V73" s="14" t="str">
        <x:v>scorer_tr_v0.1</x:v>
      </x:c>
    </x:row>
    <x:row r="74">
      <x:c r="A74" s="14" t="str">
        <x:v>PILOT-M2-D034</x:v>
      </x:c>
      <x:c r="B74" s="14" t="str">
        <x:v>M2</x:v>
      </x:c>
      <x:c r="C74" s="14" t="str">
        <x:v>openai/gpt-oss-120b</x:v>
      </x:c>
      <x:c r="D74" s="14" t="str"/>
      <x:c r="E74" s="14" t="str"/>
      <x:c r="F74" s="14" t="str">
        <x:v>D034</x:v>
      </x:c>
      <x:c r="G74" s="14" t="str">
        <x:v>Ramazan</x:v>
      </x:c>
      <x:c r="H74" s="14" t="str">
        <x:v>ramazan | ramazan ayı</x:v>
      </x:c>
      <x:c r="I74" s="15" t="str"/>
      <x:c r="J74" s="15" t="str"/>
      <x:c r="K74" s="15" t="str"/>
      <x:c r="L74" s="15" t="str"/>
      <x:c r="M74" s="15" t="str"/>
      <x:c r="N74" s="15" t="str"/>
      <x:c r="O74" s="15" t="str"/>
      <x:c r="P74" s="15" t="str"/>
      <x:c r="Q74" s="14" t="str"/>
      <x:c r="R74" s="14" t="str"/>
      <x:c r="S74" s="14" t="str"/>
      <x:c r="T74" s="14" t="str">
        <x:v>pending</x:v>
      </x:c>
      <x:c r="U74" s="14" t="str">
        <x:v>prompt_tr_v0.1</x:v>
      </x:c>
      <x:c r="V74" s="14" t="str">
        <x:v>scorer_tr_v0.1</x:v>
      </x:c>
    </x:row>
    <x:row r="75">
      <x:c r="A75" s="14" t="str">
        <x:v>PILOT-M2-D035</x:v>
      </x:c>
      <x:c r="B75" s="14" t="str">
        <x:v>M2</x:v>
      </x:c>
      <x:c r="C75" s="14" t="str">
        <x:v>openai/gpt-oss-120b</x:v>
      </x:c>
      <x:c r="D75" s="14" t="str"/>
      <x:c r="E75" s="14" t="str"/>
      <x:c r="F75" s="14" t="str">
        <x:v>D035</x:v>
      </x:c>
      <x:c r="G75" s="14" t="str">
        <x:v>En az %15</x:v>
      </x:c>
      <x:c r="H75" s="14" t="str">
        <x:v>15 | %15 | yüzde 15 | en az %15 | en az yüzde 15</x:v>
      </x:c>
      <x:c r="I75" s="15" t="str"/>
      <x:c r="J75" s="15" t="str"/>
      <x:c r="K75" s="15" t="str"/>
      <x:c r="L75" s="15" t="str"/>
      <x:c r="M75" s="15" t="str"/>
      <x:c r="N75" s="15" t="str"/>
      <x:c r="O75" s="15" t="str"/>
      <x:c r="P75" s="15" t="str"/>
      <x:c r="Q75" s="14" t="str"/>
      <x:c r="R75" s="14" t="str"/>
      <x:c r="S75" s="14" t="str"/>
      <x:c r="T75" s="14" t="str">
        <x:v>pending</x:v>
      </x:c>
      <x:c r="U75" s="14" t="str">
        <x:v>prompt_tr_v0.1</x:v>
      </x:c>
      <x:c r="V75" s="14" t="str">
        <x:v>scorer_tr_v0.1</x:v>
      </x:c>
    </x:row>
    <x:row r="76">
      <x:c r="A76" s="14" t="str">
        <x:v>PILOT-M2-D036</x:v>
      </x:c>
      <x:c r="B76" s="14" t="str">
        <x:v>M2</x:v>
      </x:c>
      <x:c r="C76" s="14" t="str">
        <x:v>openai/gpt-oss-120b</x:v>
      </x:c>
      <x:c r="D76" s="14" t="str"/>
      <x:c r="E76" s="14" t="str"/>
      <x:c r="F76" s="14" t="str">
        <x:v>D036</x:v>
      </x:c>
      <x:c r="G76" s="14" t="str">
        <x:v>2–4 kişi</x:v>
      </x:c>
      <x:c r="H76" s="14" t="str">
        <x:v>2-4 | 2–4 | 2 ila 4 | iki ila dört | iki-dört kişi</x:v>
      </x:c>
      <x:c r="I76" s="15" t="str"/>
      <x:c r="J76" s="15" t="str"/>
      <x:c r="K76" s="15" t="str"/>
      <x:c r="L76" s="15" t="str"/>
      <x:c r="M76" s="15" t="str"/>
      <x:c r="N76" s="15" t="str"/>
      <x:c r="O76" s="15" t="str"/>
      <x:c r="P76" s="15" t="str"/>
      <x:c r="Q76" s="14" t="str"/>
      <x:c r="R76" s="14" t="str"/>
      <x:c r="S76" s="14" t="str"/>
      <x:c r="T76" s="14" t="str">
        <x:v>pending</x:v>
      </x:c>
      <x:c r="U76" s="14" t="str">
        <x:v>prompt_tr_v0.1</x:v>
      </x:c>
      <x:c r="V76" s="14" t="str">
        <x:v>scorer_tr_v0.1</x:v>
      </x:c>
    </x:row>
  </x:sheetData>
  <x:mergeCells>
    <x:mergeCell ref="A1:V1"/>
    <x:mergeCell ref="A2:V2"/>
  </x:mergeCells>
  <x:dataValidations count="2">
    <x:dataValidation type="list" sqref="M5:M76">
      <x:formula1>"CO,IN,NA"</x:formula1>
    </x:dataValidation>
    <x:dataValidation type="list" sqref="O5:O76">
      <x:formula1>"prompt,normalization,accepted_answers,numeric_parser,abstention,mixed_response,provider,other"</x:formula1>
    </x:dataValidation>
  </x:dataValidations>
  <x:pageMargins left="0.7" right="0.7" top="0.75" bottom="0.75" header="0.3" footer="0.3"/>
  <x:tableParts count="1">
    <x:tablePart xmlns:r="http://schemas.openxmlformats.org/officeDocument/2006/relationships" r:id="Rc50b4e345d35467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8.75" hidden="0" customWidth="1"/>
    <x:col min="2" max="2" width="30" hidden="0" customWidth="1"/>
    <x:col min="3" max="3" width="27.5" hidden="0" customWidth="1"/>
    <x:col min="4" max="4" width="32.5" hidden="0" customWidth="1"/>
    <x:col min="5" max="5" width="12.5" hidden="0" customWidth="1"/>
    <x:col min="6" max="6" width="38.75" hidden="0" customWidth="1"/>
  </x:cols>
  <x:sheetData>
    <x:row r="1" ht="28.5" customHeight="1">
      <x:c r="A1" s="3" t="str">
        <x:v>Normalization and Scoring Unit Tests</x:v>
      </x:c>
      <x:c r="B1" s="3" t="str">
        <x:v>Normalization and Scoring Unit Tests</x:v>
      </x:c>
      <x:c r="C1" s="3" t="str">
        <x:v>Normalization and Scoring Unit Tests</x:v>
      </x:c>
      <x:c r="D1" s="3" t="str">
        <x:v>Normalization and Scoring Unit Tests</x:v>
      </x:c>
      <x:c r="E1" s="3" t="str">
        <x:v>Normalization and Scoring Unit Tests</x:v>
      </x:c>
      <x:c r="F1" s="3" t="str">
        <x:v>Normalization and Scoring Unit Tests</x:v>
      </x:c>
    </x:row>
    <x:row r="3">
      <x:c r="A3" s="19" t="str">
        <x:v>test_id</x:v>
      </x:c>
      <x:c r="B3" s="19" t="str">
        <x:v>raw_response</x:v>
      </x:c>
      <x:c r="C3" s="19" t="str">
        <x:v>expected_normalized</x:v>
      </x:c>
      <x:c r="D3" s="19" t="str">
        <x:v>accepted_answers</x:v>
      </x:c>
      <x:c r="E3" s="19" t="str">
        <x:v>expected_label</x:v>
      </x:c>
      <x:c r="F3" s="19" t="str">
        <x:v>purpose</x:v>
      </x:c>
    </x:row>
    <x:row r="4">
      <x:c r="A4" s="14" t="str">
        <x:v>T01</x:v>
      </x:c>
      <x:c r="B4" s="14" t="str">
        <x:v>ZIRH</x:v>
      </x:c>
      <x:c r="C4" s="14" t="str">
        <x:v>zırh</x:v>
      </x:c>
      <x:c r="D4" s="14" t="str">
        <x:v>zırh</x:v>
      </x:c>
      <x:c r="E4" s="14" t="str">
        <x:v>CO</x:v>
      </x:c>
      <x:c r="F4" s="14" t="str">
        <x:v>Turkish dotless-ı must be preserved</x:v>
      </x:c>
    </x:row>
    <x:row r="5">
      <x:c r="A5" s="14" t="str">
        <x:v>T02</x:v>
      </x:c>
      <x:c r="B5" s="14" t="str">
        <x:v>Cevap: Çığ.</x:v>
      </x:c>
      <x:c r="C5" s="14" t="str">
        <x:v>çığ</x:v>
      </x:c>
      <x:c r="D5" s="14" t="str">
        <x:v>çığ</x:v>
      </x:c>
      <x:c r="E5" s="14" t="str">
        <x:v>CO</x:v>
      </x:c>
      <x:c r="F5" s="14" t="str">
        <x:v>Exact label and terminal punctuation may be removed</x:v>
      </x:c>
    </x:row>
    <x:row r="6">
      <x:c r="A6" s="14" t="str">
        <x:v>T03</x:v>
      </x:c>
      <x:c r="B6" s="14" t="str">
        <x:v>  ARMUT   biçimli bardaklar </x:v>
      </x:c>
      <x:c r="C6" s="14" t="str">
        <x:v>armut biçimli bardaklar</x:v>
      </x:c>
      <x:c r="D6" s="14" t="str">
        <x:v>armut biçimli bardak | armut biçimli bardaklar</x:v>
      </x:c>
      <x:c r="E6" s="14" t="str">
        <x:v>CO</x:v>
      </x:c>
      <x:c r="F6" s="14" t="str">
        <x:v>Whitespace collapses</x:v>
      </x:c>
    </x:row>
    <x:row r="7">
      <x:c r="A7" s="14" t="str">
        <x:v>T04</x:v>
      </x:c>
      <x:c r="B7" s="14" t="str">
        <x:v>2–4</x:v>
      </x:c>
      <x:c r="C7" s="14" t="str">
        <x:v>2-4</x:v>
      </x:c>
      <x:c r="D7" s="14" t="str">
        <x:v>2-4 | 2 ila 4</x:v>
      </x:c>
      <x:c r="E7" s="14" t="str">
        <x:v>CO</x:v>
      </x:c>
      <x:c r="F7" s="14" t="str">
        <x:v>Dash normalization</x:v>
      </x:c>
    </x:row>
    <x:row r="8">
      <x:c r="A8" s="14" t="str">
        <x:v>T05</x:v>
      </x:c>
      <x:c r="B8" s="14" t="str">
        <x:v>Bilmiyorum</x:v>
      </x:c>
      <x:c r="C8" s="14" t="str">
        <x:v>bilmiyorum</x:v>
      </x:c>
      <x:c r="D8" s="14" t="str">
        <x:v>su</x:v>
      </x:c>
      <x:c r="E8" s="14" t="str">
        <x:v>NA</x:v>
      </x:c>
      <x:c r="F8" s="14" t="str">
        <x:v>Explicit abstention</x:v>
      </x:c>
    </x:row>
    <x:row r="9">
      <x:c r="A9" s="14" t="str">
        <x:v>T06</x:v>
      </x:c>
      <x:c r="B9" s="14" t="str">
        <x:v>Su çünkü gelenek böyledir.</x:v>
      </x:c>
      <x:c r="C9" s="14" t="str">
        <x:v>su çünkü gelenek böyledir</x:v>
      </x:c>
      <x:c r="D9" s="14" t="str">
        <x:v>su</x:v>
      </x:c>
      <x:c r="E9" s="14" t="str">
        <x:v>REVIEW</x:v>
      </x:c>
      <x:c r="F9" s="14" t="str">
        <x:v>No substring auto-match</x:v>
      </x:c>
    </x:row>
    <x:row r="10">
      <x:c r="A10" s="14" t="str">
        <x:v>T07</x:v>
      </x:c>
      <x:c r="B10" s="14" t="str">
        <x:v>Ince belli bardak</x:v>
      </x:c>
      <x:c r="C10" s="14" t="str">
        <x:v>ınce belli bardak</x:v>
      </x:c>
      <x:c r="D10" s="14" t="str">
        <x:v>ince belli bardak</x:v>
      </x:c>
      <x:c r="E10" s="14" t="str">
        <x:v>REVIEW</x:v>
      </x:c>
      <x:c r="F10" s="14" t="str">
        <x:v>Do not erase Turkish letter distinctions</x:v>
      </x:c>
    </x:row>
    <x:row r="11">
      <x:c r="A11" s="14" t="str">
        <x:v>T08</x:v>
      </x:c>
      <x:c r="B11" s="14" t="str">
        <x:v>15</x:v>
      </x:c>
      <x:c r="C11" s="14" t="str">
        <x:v>15</x:v>
      </x:c>
      <x:c r="D11" s="14" t="str">
        <x:v>15 | %15</x:v>
      </x:c>
      <x:c r="E11" s="14" t="str">
        <x:v>CO</x:v>
      </x:c>
      <x:c r="F11" s="14" t="str">
        <x:v>Registered numeric variant</x:v>
      </x:c>
    </x:row>
  </x:sheetData>
  <x:mergeCells>
    <x:mergeCell ref="A1:F1"/>
  </x:mergeCells>
  <x:pageMargins left="0.7" right="0.7" top="0.75" bottom="0.75" header="0.3" footer="0.3"/>
  <x:tableParts count="1">
    <x:tablePart xmlns:r="http://schemas.openxmlformats.org/officeDocument/2006/relationships" r:id="R2a07a4cfab5d450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5" hidden="0" customWidth="1"/>
    <x:col min="2" max="2" width="41.25" hidden="0" customWidth="1"/>
    <x:col min="3" max="3" width="16.25" hidden="0" customWidth="1"/>
    <x:col min="4" max="4" width="16.25" hidden="0" customWidth="1"/>
    <x:col min="5" max="5" width="18.75" hidden="0" customWidth="1"/>
  </x:cols>
  <x:sheetData>
    <x:row r="1" ht="28.5" customHeight="1">
      <x:c r="A1" s="3" t="str">
        <x:v>Pilot Readiness and QA Dashboard</x:v>
      </x:c>
      <x:c r="B1" s="3" t="str">
        <x:v>Pilot Readiness and QA Dashboard</x:v>
      </x:c>
      <x:c r="C1" s="3" t="str">
        <x:v>Pilot Readiness and QA Dashboard</x:v>
      </x:c>
      <x:c r="D1" s="3" t="str">
        <x:v>Pilot Readiness and QA Dashboard</x:v>
      </x:c>
      <x:c r="E1" s="3" t="str">
        <x:v>Pilot Readiness and QA Dashboard</x:v>
      </x:c>
    </x:row>
    <x:row r="3">
      <x:c r="A3" s="11" t="str">
        <x:v>AREA</x:v>
      </x:c>
      <x:c r="B3" s="11" t="str">
        <x:v>METRIC</x:v>
      </x:c>
      <x:c r="C3" s="11" t="str">
        <x:v>TARGET</x:v>
      </x:c>
      <x:c r="D3" s="11" t="str">
        <x:v>OBSERVED</x:v>
      </x:c>
      <x:c r="E3" s="11" t="str">
        <x:v>STATUS</x:v>
      </x:c>
    </x:row>
    <x:row r="4">
      <x:c r="A4" s="20" t="str">
        <x:v>Design</x:v>
      </x:c>
      <x:c r="B4" s="14" t="str">
        <x:v>Dev items</x:v>
      </x:c>
      <x:c r="C4" s="14" t="n">
        <x:v>36</x:v>
      </x:c>
      <x:c r="D4" s="14" t="n">
        <x:f>COUNTA('Dev_Items'!A4:A39)</x:f>
        <x:v>36</x:v>
      </x:c>
      <x:c r="E4" s="29" t="str">
        <x:f>IF(C4="monitor","INFO",IF(C4="all",IF(D4=72,"PASS","PENDING"),IF(D4=C4,"PASS","PENDING")))</x:f>
        <x:v>PASS</x:v>
      </x:c>
    </x:row>
    <x:row r="5">
      <x:c r="A5" s="20" t="str">
        <x:v>Design</x:v>
      </x:c>
      <x:c r="B5" s="14" t="str">
        <x:v>Request rows</x:v>
      </x:c>
      <x:c r="C5" s="14" t="n">
        <x:v>72</x:v>
      </x:c>
      <x:c r="D5" s="14" t="n">
        <x:f>COUNTA('Requests'!A4:A75)</x:f>
        <x:v>72</x:v>
      </x:c>
      <x:c r="E5" s="29" t="str">
        <x:f>IF(C5="monitor","INFO",IF(C5="all",IF(D5=72,"PASS","PENDING"),IF(D5=C5,"PASS","PENDING")))</x:f>
        <x:v>PASS</x:v>
      </x:c>
    </x:row>
    <x:row r="6">
      <x:c r="A6" s="20" t="str">
        <x:v>Documentation</x:v>
      </x:c>
      <x:c r="B6" s="14" t="str">
        <x:v>Reviewer forms archived</x:v>
      </x:c>
      <x:c r="C6" s="14" t="n">
        <x:v>2</x:v>
      </x:c>
      <x:c r="D6" s="15" t="n">
        <x:v>2</x:v>
      </x:c>
      <x:c r="E6" s="29" t="str">
        <x:f>IF(C6="monitor","INFO",IF(C6="all",IF(D6=72,"PASS","PENDING"),IF(D6=C6,"PASS","PENDING")))</x:f>
        <x:v>PASS</x:v>
      </x:c>
    </x:row>
    <x:row r="7">
      <x:c r="A7" s="20" t="str">
        <x:v>Freeze</x:v>
      </x:c>
      <x:c r="B7" s="14" t="str">
        <x:v>Dev frozen + checksum recorded</x:v>
      </x:c>
      <x:c r="C7" s="14" t="n">
        <x:v>1</x:v>
      </x:c>
      <x:c r="D7" s="15" t="n">
        <x:v>1</x:v>
      </x:c>
      <x:c r="E7" s="29" t="str">
        <x:f>IF(C7="monitor","INFO",IF(C7="all",IF(D7=72,"PASS","PENDING"),IF(D7=C7,"PASS","PENDING")))</x:f>
        <x:v>PASS</x:v>
      </x:c>
    </x:row>
    <x:row r="8">
      <x:c r="A8" s="20" t="str">
        <x:v>Configuration</x:v>
      </x:c>
      <x:c r="B8" s="14" t="str">
        <x:v>Enabled model slots</x:v>
      </x:c>
      <x:c r="C8" s="14" t="n">
        <x:v>2</x:v>
      </x:c>
      <x:c r="D8" s="14" t="n">
        <x:f>COUNTIF('Model_Settings'!G4:G5,"yes")</x:f>
        <x:v>1</x:v>
      </x:c>
      <x:c r="E8" s="29" t="str">
        <x:f>IF(C8="monitor","INFO",IF(C8="all",IF(D8=72,"PASS","PENDING"),IF(D8=C8,"PASS","PENDING")))</x:f>
        <x:v>PENDING</x:v>
      </x:c>
    </x:row>
    <x:row r="9">
      <x:c r="A9" s="20" t="str">
        <x:v>Execution</x:v>
      </x:c>
      <x:c r="B9" s="14" t="str">
        <x:v>Successful responses</x:v>
      </x:c>
      <x:c r="C9" s="14" t="n">
        <x:v>72</x:v>
      </x:c>
      <x:c r="D9" s="14" t="n">
        <x:f>COUNTIF('Responses'!T5:T76,"ok")</x:f>
        <x:v>0</x:v>
      </x:c>
      <x:c r="E9" s="29" t="str">
        <x:f>IF(C9="monitor","INFO",IF(C9="all",IF(D9=72,"PASS","PENDING"),IF(D9=C9,"PASS","PENDING")))</x:f>
        <x:v>PENDING</x:v>
      </x:c>
    </x:row>
    <x:row r="10">
      <x:c r="A10" s="20" t="str">
        <x:v>Scoring</x:v>
      </x:c>
      <x:c r="B10" s="14" t="str">
        <x:v>Automatically labeled CO/NA</x:v>
      </x:c>
      <x:c r="C10" s="14" t="str">
        <x:v>monitor</x:v>
      </x:c>
      <x:c r="D10" s="14" t="n">
        <x:f>COUNTIF('Responses'!K5:K76,"CO")+COUNTIF('Responses'!K5:K76,"NA")</x:f>
        <x:v>0</x:v>
      </x:c>
      <x:c r="E10" s="29" t="str">
        <x:f>IF(C10="monitor","INFO",IF(C10="all",IF(D10=72,"PASS","PENDING"),IF(D10=C10,"PASS","PENDING")))</x:f>
        <x:v>INFO</x:v>
      </x:c>
    </x:row>
    <x:row r="11">
      <x:c r="A11" s="20" t="str">
        <x:v>Scoring</x:v>
      </x:c>
      <x:c r="B11" s="14" t="str">
        <x:v>Manual-review rows resolved</x:v>
      </x:c>
      <x:c r="C11" s="14" t="str">
        <x:v>all</x:v>
      </x:c>
      <x:c r="D11" s="14" t="n">
        <x:f>COUNTIF('Responses'!M5:M76,"CO")+COUNTIF('Responses'!M5:M76,"IN")+COUNTIF('Responses'!M5:M76,"NA")</x:f>
        <x:v>0</x:v>
      </x:c>
      <x:c r="E11" s="29" t="str">
        <x:f>IF(C11="monitor","INFO",IF(C11="all",IF(D11=72,"PASS","PENDING"),IF(D11=C11,"PASS","PENDING")))</x:f>
        <x:v>PENDING</x:v>
      </x:c>
    </x:row>
    <x:row r="12">
      <x:c r="A12" s="20" t="str">
        <x:v>QA</x:v>
      </x:c>
      <x:c r="B12" s="14" t="str">
        <x:v>Unresolved systematic issues</x:v>
      </x:c>
      <x:c r="C12" s="14" t="n">
        <x:v>0</x:v>
      </x:c>
      <x:c r="D12" s="14" t="n">
        <x:f>COUNTIF('Responses'!O5:O76,"?*")</x:f>
        <x:v>0</x:v>
      </x:c>
      <x:c r="E12" s="29" t="str">
        <x:f>IF(C12="monitor","INFO",IF(C12="all",IF(D12=72,"PASS","PENDING"),IF(D12=C12,"PASS","PENDING")))</x:f>
        <x:v>PASS</x:v>
      </x:c>
    </x:row>
    <x:row r="13">
      <x:c r="A13" s="20" t="str">
        <x:v>QA</x:v>
      </x:c>
      <x:c r="B13" s="14" t="str">
        <x:v>Scorer unit tests passed</x:v>
      </x:c>
      <x:c r="C13" s="14" t="n">
        <x:v>8</x:v>
      </x:c>
      <x:c r="D13" s="14" t="n">
        <x:v>8</x:v>
      </x:c>
      <x:c r="E13" s="29" t="str">
        <x:f>IF(C13="monitor","INFO",IF(C13="all",IF(D13=72,"PASS","PENDING"),IF(D13=C13,"PASS","PENDING")))</x:f>
        <x:v>PASS</x:v>
      </x:c>
    </x:row>
    <x:row r="14">
      <x:c r="A14" s="20" t="str">
        <x:v>Overall</x:v>
      </x:c>
      <x:c r="B14" s="14" t="str">
        <x:v>GO / NO-GO</x:v>
      </x:c>
      <x:c r="C14" s="14" t="str">
        <x:v>GO</x:v>
      </x:c>
      <x:c r="D14" s="14" t="str">
        <x:f>IF(AND(D4=36,D5=72,D6=2,D7=1,D8=2,D9=72,D11=72,D12=0,D13=8),"GO","PENDING / NO-GO")</x:f>
        <x:v>PENDING / NO-GO</x:v>
      </x:c>
      <x:c r="E14" s="29" t="str">
        <x:f>IF(D14="GO","PASS","ACTION REQUIRED")</x:f>
        <x:v>ACTION REQUIRED</x:v>
      </x:c>
    </x:row>
    <x:row r="16">
      <x:c r="A16" s="30" t="str">
        <x:v>Interpretation</x:v>
      </x:c>
      <x:c r="B16" s="31" t="str">
        <x:v>Dev v0.2 is frozen, reviewer evidence is archived, and both exact endpoints are fixed. The workbook remains PENDING until both API credentials are available, both model slots are enabled, all 72 responses are captured, and every unmatched response is resolved.</x:v>
      </x:c>
      <x:c r="C16" s="31" t="str"/>
      <x:c r="D16" s="31" t="str"/>
      <x:c r="E16" s="31" t="str"/>
    </x:row>
    <x:row r="17">
      <x:c r="A17" s="30" t="str">
        <x:v>Cost control</x:v>
      </x:c>
      <x:c r="B17" s="31" t="str">
        <x:v>No API calls were made while building this package. The author controls provider choice and spend at run time.</x:v>
      </x:c>
      <x:c r="C17" s="31" t="str"/>
      <x:c r="D17" s="31" t="str"/>
      <x:c r="E17" s="31" t="str"/>
    </x:row>
  </x:sheetData>
  <x:mergeCells>
    <x:mergeCell ref="A1:E1"/>
    <x:mergeCell ref="B16:E16"/>
    <x:mergeCell ref="B17:E17"/>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37.5" hidden="0" customWidth="1"/>
    <x:col min="2" max="2" width="90" hidden="0" customWidth="1"/>
  </x:cols>
  <x:sheetData>
    <x:row r="1" ht="28.5" customHeight="1">
      <x:c r="A1" s="36" t="str">
        <x:v>Pilot Input Freeze Record</x:v>
      </x:c>
      <x:c r="B1" s="36"/>
    </x:row>
    <x:row r="3">
      <x:c r="A3" s="42" t="str">
        <x:v>dev_version</x:v>
      </x:c>
      <x:c r="B3" s="43" t="str">
        <x:v>v0.2</x:v>
      </x:c>
    </x:row>
    <x:row r="4">
      <x:c r="A4" s="42" t="str">
        <x:v>dev_item_count</x:v>
      </x:c>
      <x:c r="B4" s="43" t="n">
        <x:v>36</x:v>
      </x:c>
    </x:row>
    <x:row r="5">
      <x:c r="A5" s="42" t="str">
        <x:v>request_count</x:v>
      </x:c>
      <x:c r="B5" s="43" t="n">
        <x:v>72</x:v>
      </x:c>
    </x:row>
    <x:row r="6">
      <x:c r="A6" s="42" t="str">
        <x:v>prompt_version</x:v>
      </x:c>
      <x:c r="B6" s="43" t="str">
        <x:v>prompt_tr_v0.1</x:v>
      </x:c>
    </x:row>
    <x:row r="7">
      <x:c r="A7" s="42" t="str">
        <x:v>scorer_version</x:v>
      </x:c>
      <x:c r="B7" s="43" t="str">
        <x:v>scorer_tr_v0.1</x:v>
      </x:c>
    </x:row>
    <x:row r="8">
      <x:c r="A8" s="42" t="str">
        <x:v>frozen_dev_xlsx_sha256</x:v>
      </x:c>
      <x:c r="B8" s="43" t="str">
        <x:v>56cc3e3493454458d8b6b1eaf6999e2d0675ed0d2d18061b6e1cf24a213d03d1</x:v>
      </x:c>
    </x:row>
    <x:row r="9">
      <x:c r="A9" s="42" t="str">
        <x:v>frozen_dev_csv_sha256</x:v>
      </x:c>
      <x:c r="B9" s="43" t="str">
        <x:v>8be4ce71cfdac90b2d362e33ec39f6b2ff5c6b451dbbb160d648c73a90b86d75</x:v>
      </x:c>
    </x:row>
    <x:row r="10">
      <x:c r="A10" s="42" t="str">
        <x:v>gold_or_accepted_answer_changes_after_freeze</x:v>
      </x:c>
      <x:c r="B10" s="43" t="n">
        <x:v>0</x:v>
      </x:c>
    </x:row>
    <x:row r="11">
      <x:c r="A11" s="42" t="str">
        <x:v>execution_status</x:v>
      </x:c>
      <x:c r="B11" s="43" t="str">
        <x:v>not run</x:v>
      </x:c>
    </x:row>
  </x:sheetData>
  <x:mergeCells>
    <x:mergeCell ref="A1:B1"/>
  </x:mergeCells>
  <x:pageMargins left="0.7" right="0.7" top="0.75" bottom="0.75" header="0.3" footer="0.3"/>
</x:worksheet>
</file>