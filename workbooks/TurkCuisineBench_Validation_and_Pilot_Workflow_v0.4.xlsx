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7966270e9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33391e542e4fc3"/>
    <x:sheet xmlns:r="http://schemas.openxmlformats.org/officeDocument/2006/relationships" name="Dev_Items" sheetId="2" r:id="R377f7eb1c4d5475e"/>
    <x:sheet xmlns:r="http://schemas.openxmlformats.org/officeDocument/2006/relationships" name="Dev_Reviewer_A" sheetId="3" r:id="Rd86f190db3954587"/>
    <x:sheet xmlns:r="http://schemas.openxmlformats.org/officeDocument/2006/relationships" name="Dev_Reviewer_B" sheetId="4" r:id="R04e9d91e566347fb"/>
    <x:sheet xmlns:r="http://schemas.openxmlformats.org/officeDocument/2006/relationships" name="Dev_Adjudication" sheetId="5" r:id="Rcec332a1d0684098"/>
    <x:sheet xmlns:r="http://schemas.openxmlformats.org/officeDocument/2006/relationships" name="Main_Assignment" sheetId="6" r:id="Raceed2d734aa4b78"/>
    <x:sheet xmlns:r="http://schemas.openxmlformats.org/officeDocument/2006/relationships" name="Main_Review_Log" sheetId="7" r:id="R7039a3d18a0d4644"/>
    <x:sheet xmlns:r="http://schemas.openxmlformats.org/officeDocument/2006/relationships" name="Pilot_Run_Log" sheetId="8" r:id="Rf30f05c96e074b1e"/>
    <x:sheet xmlns:r="http://schemas.openxmlformats.org/officeDocument/2006/relationships" name="Dashboard" sheetId="9" r:id="R5038e3addfb64d1e"/>
    <x:sheet xmlns:r="http://schemas.openxmlformats.org/officeDocument/2006/relationships" name="Review_Reconciliation" sheetId="10" r:id="R111ada2d481f4bcb"/>
    <x:sheet xmlns:r="http://schemas.openxmlformats.org/officeDocument/2006/relationships" name="Freeze_Record" sheetId="11" r:id="R78e2d5a658dc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B5B"/>
      <x:name val="Carlito"/>
    </x:font>
    <x:font>
      <x:b/>
      <x:sz val="10"/>
      <x:color rgb="FFFFFFFF"/>
      <x:name val="Carlito"/>
    </x:font>
    <x:font>
      <x:sz val="9"/>
      <x:color rgb="FF1D2A35"/>
      <x:name val="Carlito"/>
    </x:font>
    <x:font>
      <x:b/>
      <x:sz val="11"/>
      <x:color rgb="FF1F7A7A"/>
      <x:name val="Carlito"/>
    </x:font>
    <x:font>
      <x:b/>
      <x:sz val="9"/>
      <x:color rgb="FFFFFFFF"/>
      <x:name val="Carlito"/>
    </x:font>
    <x:font>
      <x:sz val="9"/>
      <x:color rgb="FF1B5E8A"/>
      <x:name val="Carlito"/>
    </x:font>
    <x:font>
      <x:b/>
      <x:sz val="11"/>
      <x:color rgb="FF1D2A35"/>
      <x:name val="Carlito"/>
    </x:font>
    <x:font>
      <x:sz val="11"/>
      <x:color rgb="FF1D2A35"/>
      <x:name val="Carlito"/>
    </x:font>
    <x:font>
      <x:b/>
      <x:sz val="9"/>
      <x:color rgb="FF2D6A4F"/>
      <x:name val="Carlito"/>
    </x:font>
    <x:font>
      <x:b/>
      <x:sz val="15"/>
      <x:color rgb="FFFFFFFF"/>
      <x:name val="Carlito"/>
    </x:font>
    <x:font>
      <x:b/>
      <x:sz val="11"/>
      <x:color rgb="FF5A4300"/>
      <x:name val="Carlito"/>
    </x:font>
    <x:font>
      <x:sz val="9"/>
      <x:color rgb="FF1F2937"/>
      <x:name val="Carlito"/>
    </x:font>
    <x:font>
      <x:b/>
      <x:sz val="9"/>
      <x:color rgb="FF123B5D"/>
      <x:name val="Carlito"/>
    </x:font>
    <x:font>
      <x:b/>
      <x:sz val="11"/>
      <x:color rgb="FF0B5B66"/>
      <x:name val="Carlito"/>
    </x:font>
    <x:font>
      <x:b/>
      <x:sz val="18"/>
      <x:color rgb="FFFFFFFF"/>
      <x:name val="Carlito"/>
    </x:font>
    <x:font>
      <x:b/>
      <x:sz val="11"/>
      <x:color rgb="FF153B5B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B5B"/>
      </x:patternFill>
    </x:fill>
    <x:fill>
      <x:patternFill patternType="solid">
        <x:fgColor rgb="FFEAF3F7"/>
      </x:patternFill>
    </x:fill>
    <x:fill>
      <x:patternFill patternType="solid">
        <x:fgColor rgb="FF2D6A4F"/>
      </x:patternFill>
    </x:fill>
    <x:fill>
      <x:patternFill patternType="solid">
        <x:fgColor rgb="FFEAF4F3"/>
      </x:patternFill>
    </x:fill>
    <x:fill>
      <x:patternFill patternType="solid">
        <x:fgColor rgb="FFFFF4D6"/>
      </x:patternFill>
    </x:fill>
    <x:fill>
      <x:patternFill patternType="solid">
        <x:fgColor rgb="FFF6FAFC"/>
      </x:patternFill>
    </x:fill>
    <x:fill>
      <x:patternFill patternType="solid">
        <x:fgColor rgb="FF123B5D"/>
      </x:patternFill>
    </x:fill>
    <x:fill>
      <x:patternFill patternType="solid">
        <x:fgColor rgb="FFFFF4CE"/>
      </x:patternFill>
    </x:fill>
    <x:fill>
      <x:patternFill patternType="solid">
        <x:fgColor rgb="FFF7FAFC"/>
      </x:patternFill>
    </x:fill>
    <x:fill>
      <x:patternFill patternType="solid">
        <x:fgColor rgb="FFDCEFF5"/>
      </x:patternFill>
    </x:fill>
    <x:fill>
      <x:patternFill patternType="solid">
        <x:fgColor rgb="FF153B5B"/>
      </x:patternFill>
    </x:fill>
    <x:fill>
      <x:patternFill patternType="solid">
        <x:fgColor rgb="FFD9EAF3"/>
      </x:patternFill>
    </x:fill>
  </x:fills>
  <x:borders count="1">
    <x:border/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6" fillId="8" xfId="0" applyNumberFormat="1" applyFont="1" applyFill="1" applyBorder="0" applyAlignment="1">
      <x:alignment vertical="center" wrapText="1"/>
    </x:xf>
    <x:xf numFmtId="0" fontId="13" fillId="0" xfId="0" applyNumberFormat="1" applyFont="1" applyFill="1" applyBorder="0" applyAlignment="1">
      <x:alignment vertical="top" wrapText="1"/>
    </x:xf>
    <x:xf numFmtId="0" fontId="13" fillId="10" xfId="0" applyNumberFormat="1" applyFont="1" applyFill="1" applyBorder="0" applyAlignment="1">
      <x:alignment vertical="top" wrapText="1"/>
    </x:xf>
    <x:xf numFmtId="0" fontId="14" fillId="0" xfId="0" applyNumberFormat="1" applyFont="1" applyFill="1" applyBorder="0" applyAlignment="1">
      <x:alignment vertical="top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5" fillId="11" xfId="0" applyNumberFormat="1" applyFont="1" applyFill="1" applyBorder="0" applyAlignment="1">
      <x:alignment wrapText="1"/>
    </x:xf>
    <x:xf numFmtId="0" fontId="13" fillId="10" xfId="0" applyNumberFormat="1" applyFont="1" applyFill="1" applyBorder="0" applyAlignment="1">
      <x:alignment wrapText="1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7" fillId="13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  <x:dxfs count="1">
    <x:dxf>
      <x:font>
        <x:b/>
        <x:color rgb="FFA4262C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43e2c8a9343a5" /><Relationship Type="http://schemas.openxmlformats.org/officeDocument/2006/relationships/theme" Target="/xl/theme/theme1.xml" Id="R5aa5208fd7e5422d" /><Relationship Type="http://schemas.microsoft.com/office/2022/11/relationships/FeaturePropertyBag" Target="/xl/featurePropertyBag/featurePropertyBag.xml" Id="R916af943edf9459d" /><Relationship Type="http://schemas.openxmlformats.org/officeDocument/2006/relationships/sharedStrings" Target="/xl/sharedStrings.xml" Id="R547e58b8732e4ca7" /><Relationship Type="http://schemas.openxmlformats.org/officeDocument/2006/relationships/worksheet" Target="/xl/worksheets/sheet1.xml" Id="R2a33391e542e4fc3" /><Relationship Type="http://schemas.openxmlformats.org/officeDocument/2006/relationships/worksheet" Target="/xl/worksheets/sheet2.xml" Id="R377f7eb1c4d5475e" /><Relationship Type="http://schemas.openxmlformats.org/officeDocument/2006/relationships/worksheet" Target="/xl/worksheets/sheet3.xml" Id="Rd86f190db3954587" /><Relationship Type="http://schemas.openxmlformats.org/officeDocument/2006/relationships/worksheet" Target="/xl/worksheets/sheet4.xml" Id="R04e9d91e566347fb" /><Relationship Type="http://schemas.openxmlformats.org/officeDocument/2006/relationships/worksheet" Target="/xl/worksheets/sheet5.xml" Id="Rcec332a1d0684098" /><Relationship Type="http://schemas.openxmlformats.org/officeDocument/2006/relationships/worksheet" Target="/xl/worksheets/sheet6.xml" Id="Raceed2d734aa4b78" /><Relationship Type="http://schemas.openxmlformats.org/officeDocument/2006/relationships/worksheet" Target="/xl/worksheets/sheet7.xml" Id="R7039a3d18a0d4644" /><Relationship Type="http://schemas.openxmlformats.org/officeDocument/2006/relationships/worksheet" Target="/xl/worksheets/sheet8.xml" Id="Rf30f05c96e074b1e" /><Relationship Type="http://schemas.openxmlformats.org/officeDocument/2006/relationships/worksheet" Target="/xl/worksheets/sheet9.xml" Id="R5038e3addfb64d1e" /><Relationship Type="http://schemas.openxmlformats.org/officeDocument/2006/relationships/worksheet" Target="/xl/worksheets/sheet10.xml" Id="R111ada2d481f4bcb" /><Relationship Type="http://schemas.openxmlformats.org/officeDocument/2006/relationships/worksheet" Target="/xl/worksheets/sheet11.xml" Id="R78e2d5a658dc4b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vItemsTable" displayName="DevItemsTable" ref="A3:R39" headerRowCount="1" totalsRowCount="0" totalsRowShown="0">
  <x:tableColumns count="18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source_type"/>
    <x:tableColumn id="10" name="lexical_leakage"/>
    <x:tableColumn id="11" name="ambiguity_risk"/>
    <x:tableColumn id="12" name="temporal_stability"/>
    <x:tableColumn id="13" name="numeric_answer"/>
    <x:tableColumn id="14" name="dev_case_type"/>
    <x:tableColumn id="15" name="item_status"/>
    <x:tableColumn id="16" name="notes"/>
    <x:tableColumn id="17" name="review_route"/>
    <x:tableColumn id="18" name="boundary_issue_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ReviewerATable" displayName="DevReviewerATable" ref="A5:T41" headerRowCount="1" totalsRowCount="0" totalsRowShown="0">
  <x:tableColumns count="20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lexical_leakage"/>
    <x:tableColumn id="10" name="ambiguity_risk"/>
    <x:tableColumn id="11" name="review_route"/>
    <x:tableColumn id="12" name="source_support"/>
    <x:tableColumn id="13" name="question_clarity"/>
    <x:tableColumn id="14" name="gold_correctness"/>
    <x:tableColumn id="15" name="accepted_completeness"/>
    <x:tableColumn id="16" name="recommended_action"/>
    <x:tableColumn id="17" name="proposed_question"/>
    <x:tableColumn id="18" name="proposed_gold"/>
    <x:tableColumn id="19" name="proposed_accepted_answers"/>
    <x:tableColumn id="20" name="reviewer_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ReviewerBTable" displayName="DevReviewerBTable" ref="A5:T41" headerRowCount="1" totalsRowCount="0" totalsRowShown="0">
  <x:tableColumns count="20">
    <x:tableColumn id="1" name="item_id"/>
    <x:tableColumn id="2" name="source_fact_id"/>
    <x:tableColumn id="3" name="knowledge_domain"/>
    <x:tableColumn id="4" name="knowledge_specificity"/>
    <x:tableColumn id="5" name="question_tr"/>
    <x:tableColumn id="6" name="gold_answer"/>
    <x:tableColumn id="7" name="accepted_answers"/>
    <x:tableColumn id="8" name="source_url"/>
    <x:tableColumn id="9" name="lexical_leakage"/>
    <x:tableColumn id="10" name="ambiguity_risk"/>
    <x:tableColumn id="11" name="review_route"/>
    <x:tableColumn id="12" name="source_support"/>
    <x:tableColumn id="13" name="question_clarity"/>
    <x:tableColumn id="14" name="gold_correctness"/>
    <x:tableColumn id="15" name="accepted_completeness"/>
    <x:tableColumn id="16" name="recommended_action"/>
    <x:tableColumn id="17" name="proposed_question"/>
    <x:tableColumn id="18" name="proposed_gold"/>
    <x:tableColumn id="19" name="proposed_accepted_answers"/>
    <x:tableColumn id="20" name="reviewer_comm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vAdjudicationTable" displayName="DevAdjudicationTable" ref="A5:M41" headerRowCount="1" totalsRowCount="0" totalsRowShown="0">
  <x:tableColumns count="13">
    <x:tableColumn id="1" name="item_id"/>
    <x:tableColumn id="2" name="review_route"/>
    <x:tableColumn id="3" name="reviewer_A_action"/>
    <x:tableColumn id="4" name="reviewer_B_action"/>
    <x:tableColumn id="5" name="agreement_status"/>
    <x:tableColumn id="6" name="final_action"/>
    <x:tableColumn id="7" name="final_question"/>
    <x:tableColumn id="8" name="final_gold"/>
    <x:tableColumn id="9" name="final_accepted_answers"/>
    <x:tableColumn id="10" name="adjudicator_code"/>
    <x:tableColumn id="11" name="adjudication_date"/>
    <x:tableColumn id="12" name="reason_code"/>
    <x:tableColumn id="13" name="adjudication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inAssignmentTable" displayName="MainAssignmentTable" ref="A5:O255" headerRowCount="1" totalsRowCount="0" totalsRowShown="0">
  <x:tableColumns count="15">
    <x:tableColumn id="1" name="main_item_id"/>
    <x:tableColumn id="2" name="source_fact_id"/>
    <x:tableColumn id="3" name="knowledge_domain"/>
    <x:tableColumn id="4" name="stratum_order"/>
    <x:tableColumn id="5" name="lexical_leakage"/>
    <x:tableColumn id="6" name="ambiguity_risk"/>
    <x:tableColumn id="7" name="numeric_answer"/>
    <x:tableColumn id="8" name="multi_component"/>
    <x:tableColumn id="9" name="local_or_dialect_term"/>
    <x:tableColumn id="10" name="technical_threshold"/>
    <x:tableColumn id="11" name="review_risk"/>
    <x:tableColumn id="12" name="assignment"/>
    <x:tableColumn id="13" name="reviewer_A_required"/>
    <x:tableColumn id="14" name="reviewer_B_required"/>
    <x:tableColumn id="15" name="assignment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inReviewLogTable" displayName="MainReviewLogTable" ref="A5:N505" headerRowCount="1" totalsRowCount="0" totalsRowShown="0">
  <x:tableColumns count="14">
    <x:tableColumn id="1" name="main_item_id"/>
    <x:tableColumn id="2" name="assigned_reviewer"/>
    <x:tableColumn id="3" name="reviewer_code"/>
    <x:tableColumn id="4" name="review_date"/>
    <x:tableColumn id="5" name="source_support"/>
    <x:tableColumn id="6" name="question_clarity"/>
    <x:tableColumn id="7" name="gold_correctness"/>
    <x:tableColumn id="8" name="accepted_completeness"/>
    <x:tableColumn id="9" name="recommended_action"/>
    <x:tableColumn id="10" name="proposed_question"/>
    <x:tableColumn id="11" name="proposed_gold"/>
    <x:tableColumn id="12" name="proposed_accepted_answers"/>
    <x:tableColumn id="13" name="reviewer_comments"/>
    <x:tableColumn id="14" name="lock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ilotRunLogTable" displayName="PilotRunLogTable" ref="A5:P77" headerRowCount="1" totalsRowCount="0" totalsRowShown="0">
  <x:tableColumns count="16">
    <x:tableColumn id="1" name="run_id"/>
    <x:tableColumn id="2" name="model_slot"/>
    <x:tableColumn id="3" name="exact_model_id"/>
    <x:tableColumn id="4" name="item_id"/>
    <x:tableColumn id="5" name="question_tr"/>
    <x:tableColumn id="6" name="gold_answer"/>
    <x:tableColumn id="7" name="accepted_answers"/>
    <x:tableColumn id="8" name="raw_response"/>
    <x:tableColumn id="9" name="normalized_response"/>
    <x:tableColumn id="10" name="auto_match"/>
    <x:tableColumn id="11" name="manual_review"/>
    <x:tableColumn id="12" name="provisional_label"/>
    <x:tableColumn id="13" name="final_label"/>
    <x:tableColumn id="14" name="scoring_issue"/>
    <x:tableColumn id="15" name="issue_typ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1008b82c724e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241250d52f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e4e1e663664b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a3adcc841642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945f56c28f41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ad26d402ca48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8fa8f2075f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76.25" hidden="0" customWidth="1"/>
    <x:col min="3" max="3" width="28.75" hidden="0" customWidth="1"/>
    <x:col min="4" max="4" width="28.75" hidden="0" customWidth="1"/>
    <x:col min="5" max="5" width="28.75" hidden="0" customWidth="1"/>
    <x:col min="6" max="6" width="28.75" hidden="0" customWidth="1"/>
  </x:cols>
  <x:sheetData>
    <x:row r="1" ht="28.5" customHeight="1">
      <x:c r="A1" s="3" t="str">
        <x:v>TurkCuisineBench — Validation and Pilot Workflow v0.4</x:v>
      </x:c>
      <x:c r="B1" s="3" t="str">
        <x:v>TurkCuisineBench — Validation and Pilot Workflow v0.2</x:v>
      </x:c>
      <x:c r="C1" s="3" t="str">
        <x:v>TurkCuisineBench — Validation and Pilot Workflow v0.2</x:v>
      </x:c>
      <x:c r="D1" s="3" t="str">
        <x:v>TurkCuisineBench — Validation and Pilot Workflow v0.2</x:v>
      </x:c>
      <x:c r="E1" s="3" t="str">
        <x:v>TurkCuisineBench — Validation and Pilot Workflow v0.2</x:v>
      </x:c>
      <x:c r="F1" s="3" t="str">
        <x:v>TurkCuisineBench — Validation and Pilot Workflow v0.2</x:v>
      </x:c>
    </x:row>
    <x:row r="3" ht="31.5" customHeight="1">
      <x:c r="A3" s="6" t="str">
        <x:v>Workbook status</x:v>
      </x:c>
      <x:c r="B3" s="7" t="str">
        <x:v>Dev frozen as v0.2; pilot execution pending</x:v>
      </x:c>
    </x:row>
    <x:row r="4" ht="31.5" customHeight="1">
      <x:c r="A4" s="6" t="str">
        <x:v>Dev validation</x:v>
      </x:c>
      <x:c r="B4" s="7" t="str">
        <x:v>Both reviewers independently assess all 36 Dev items.</x:v>
      </x:c>
    </x:row>
    <x:row r="5" ht="31.5" customHeight="1">
      <x:c r="A5" s="6" t="str">
        <x:v>Enhanced Dev review</x:v>
      </x:c>
      <x:c r="B5" s="7" t="str">
        <x:v>Seven boundary items are flagged for extended accepted-answer and scoring review.</x:v>
      </x:c>
    </x:row>
    <x:row r="6" ht="31.5" customHeight="1">
      <x:c r="A6" s="6" t="str">
        <x:v>Main-study validation</x:v>
      </x:c>
      <x:c r="B6" s="7" t="str">
        <x:v>All higher-risk items receive duplicate review; lower-risk items are distributed between reviewers with 20% overlap within each stratum.</x:v>
      </x:c>
    </x:row>
    <x:row r="7" ht="31.5" customHeight="1">
      <x:c r="A7" s="6" t="str">
        <x:v>Adjudication</x:v>
      </x:c>
      <x:c r="B7" s="7" t="str">
        <x:v>A third independent adjudicator resolves flagged Dev cases against the official source; the lead researcher records the de-identified outcome and provenance.</x:v>
      </x:c>
    </x:row>
    <x:row r="8" ht="31.5" customHeight="1">
      <x:c r="A8" s="6" t="str">
        <x:v>Pilot</x:v>
      </x:c>
      <x:c r="B8" s="7" t="str">
        <x:v>A lightweight two-model pilot tests the Turkish prompt, normalization, and CO/IN/NA scoring pipeline; it is not used for model ranking.</x:v>
      </x:c>
    </x:row>
    <x:row r="9" ht="31.5" customHeight="1">
      <x:c r="A9" s="6" t="str">
        <x:v>Freeze rule</x:v>
      </x:c>
      <x:c r="B9" s="7" t="str">
        <x:v>Freeze gold and accepted answers before running the main Test evaluation.</x:v>
      </x:c>
    </x:row>
    <x:row r="11">
      <x:c r="A11" s="11" t="str">
        <x:v>STAGE</x:v>
      </x:c>
      <x:c r="B11" s="11" t="str">
        <x:v>WHO REVIEWS?</x:v>
      </x:c>
      <x:c r="C11" s="11" t="str">
        <x:v>SCOPE</x:v>
      </x:c>
      <x:c r="D11" s="11" t="str">
        <x:v>OUTPUT</x:v>
      </x:c>
      <x:c r="E11" s="11" t="str">
        <x:v>EXPANSION RULE</x:v>
      </x:c>
      <x:c r="F11" s="11" t="str">
        <x:v>CLAIM PERMITTED</x:v>
      </x:c>
    </x:row>
    <x:row r="12">
      <x:c r="A12" s="14" t="str">
        <x:v>Dev item validation</x:v>
      </x:c>
      <x:c r="B12" s="14" t="str">
        <x:v>Reviewer A + Reviewer B</x:v>
      </x:c>
      <x:c r="C12" s="14" t="str">
        <x:v>All 36 items</x:v>
      </x:c>
      <x:c r="D12" s="14" t="str">
        <x:v>accept / revise / exclude</x:v>
      </x:c>
      <x:c r="E12" s="14" t="str">
        <x:v>Resolve every disagreement</x:v>
      </x:c>
      <x:c r="F12" s="14" t="str">
        <x:v>Full duplicate independent review of Dev</x:v>
      </x:c>
    </x:row>
    <x:row r="13">
      <x:c r="A13" s="14" t="str">
        <x:v>Main higher-risk review</x:v>
      </x:c>
      <x:c r="B13" s="14" t="str">
        <x:v>Reviewer A + Reviewer B</x:v>
      </x:c>
      <x:c r="C13" s="14" t="str">
        <x:v>All L1, medium/high ambiguity, numeric, multi-component, local/dialect, technical-threshold items</x:v>
      </x:c>
      <x:c r="D13" s="14" t="str">
        <x:v>Duplicate judgments</x:v>
      </x:c>
      <x:c r="E13" s="14" t="str">
        <x:v>Resolve every disagreement</x:v>
      </x:c>
      <x:c r="F13" s="14" t="str">
        <x:v>Duplicate external review of higher-risk items</x:v>
      </x:c>
    </x:row>
    <x:row r="14">
      <x:c r="A14" s="14" t="str">
        <x:v>Main lower-risk review</x:v>
      </x:c>
      <x:c r="B14" s="14" t="str">
        <x:v>Reviewer A or B; 20% overlap</x:v>
      </x:c>
      <x:c r="C14" s="14" t="str">
        <x:v>Remaining L0 items, stratified by knowledge domain</x:v>
      </x:c>
      <x:c r="D14" s="14" t="str">
        <x:v>One external judgment plus overlap audit</x:v>
      </x:c>
      <x:c r="E14" s="14" t="str">
        <x:v>Expand the affected stratum if material errors are found</x:v>
      </x:c>
      <x:c r="F14" s="14" t="str">
        <x:v>Distributed external review with stratified overlap</x:v>
      </x:c>
    </x:row>
    <x:row r="15">
      <x:c r="A15" s="14" t="str">
        <x:v>Pilot run</x:v>
      </x:c>
      <x:c r="B15" s="14" t="str">
        <x:v>Author</x:v>
      </x:c>
      <x:c r="C15" s="14" t="str">
        <x:v>36 Dev items × 2 fixed models</x:v>
      </x:c>
      <x:c r="D15" s="14" t="str">
        <x:v>Pipeline issue log</x:v>
      </x:c>
      <x:c r="E15" s="14" t="str">
        <x:v>Revise protocol before Test if systematic issues remain</x:v>
      </x:c>
      <x:c r="F15" s="14" t="str">
        <x:v>Method pilot; not a leaderboard</x:v>
      </x:c>
    </x:row>
    <x:row r="17">
      <x:c r="A17" s="17" t="str">
        <x:v>Independent-review rule</x:v>
      </x:c>
      <x:c r="B17" s="7" t="str">
        <x:v>Reviewers must not see each other's decisions before submission.</x:v>
      </x:c>
    </x:row>
    <x:row r="18">
      <x:c r="A18" s="17" t="str">
        <x:v>Source rule</x:v>
      </x:c>
      <x:c r="B18" s="7" t="str">
        <x:v>Reviewers open source_url and judge only source-supported forms.</x:v>
      </x:c>
    </x:row>
    <x:row r="19">
      <x:c r="A19" s="17" t="str">
        <x:v>Main assignment rule</x:v>
      </x:c>
      <x:c r="B19" s="7" t="str">
        <x:v>Within each knowledge-domain stratum, enter a stable stratum_order: every fifth lower-risk item is AB; remaining items alternate A/B.</x:v>
      </x:c>
    </x:row>
    <x:row r="20">
      <x:c r="A20" s="17" t="str">
        <x:v>No retroactive tuning</x:v>
      </x:c>
      <x:c r="B20" s="7" t="str">
        <x:v>Do not add accepted answers merely because they appear in model outputs.</x:v>
      </x:c>
    </x:row>
    <x:row r="21">
      <x:c r="A21" s="17" t="str">
        <x:v>Pilot go/no-go</x:v>
      </x:c>
      <x:c r="B21" s="7" t="str">
        <x:v>GO requires 36 adjudicated Dev items, 72 labeled pilot outputs, and zero unresolved systematic scoring issues.</x:v>
      </x:c>
    </x:row>
    <x:row r="22">
      <x:c r="A22" s="17" t="str">
        <x:v>Authorship</x:v>
      </x:c>
      <x:c r="B22" s="7" t="str">
        <x:v>Record substantive Validation/Data Curation contributions; acknowledgement or authorship is decided separately under the target journal's policy.</x:v>
      </x:c>
    </x:row>
    <x:row r="23">
      <x:c r="A23" s="17" t="str">
        <x:v>Ethics</x:v>
      </x:c>
      <x:c r="B23" s="7" t="str">
        <x:v>If reviewer judgments will be analysed as participant data, obtain the institution's written ethics determination before collection.</x:v>
      </x:c>
    </x:row>
    <x:row r="25" ht="31.5" customHeight="1">
      <x:c r="A25" s="63" t="str">
        <x:v>v0.4 adjudication import</x:v>
      </x:c>
      <x:c r="B25" s="64" t="str">
        <x:v>Four independent adjudicator wording notes were transcribed by the lead researcher and source-checked.</x:v>
      </x:c>
    </x:row>
    <x:row r="26" ht="31.5" customHeight="1">
      <x:c r="A26" s="63" t="str">
        <x:v>Adjudicator return hash</x:v>
      </x:c>
      <x:c r="B26" s="64" t="str">
        <x:v>0b2630d7777fac8829fa8dbf0087cca0adeedde5b36d88090627e1969aac3caf</x:v>
      </x:c>
    </x:row>
    <x:row r="27" ht="31.5" customHeight="1">
      <x:c r="A27" s="63" t="str">
        <x:v>Resolved adjudication items</x:v>
      </x:c>
      <x:c r="B27" s="64" t="str">
        <x:v>D002, D021, D022, D034</x:v>
      </x:c>
    </x:row>
    <x:row r="28" ht="31.5" customHeight="1">
      <x:c r="A28" s="63" t="str">
        <x:v>Final actions completed</x:v>
      </x:c>
      <x:c r="B28" s="64" t="n">
        <x:v>36</x:v>
      </x:c>
    </x:row>
    <x:row r="29" ht="31.5" customHeight="1">
      <x:c r="A29" s="63" t="str">
        <x:v>Frozen Dev release</x:v>
      </x:c>
      <x:c r="B29" s="64" t="str">
        <x:v>TurkCuisineBench-Dev v0.2</x:v>
      </x:c>
    </x:row>
    <x:row r="30" ht="31.5" customHeight="1">
      <x:c r="A30" s="63" t="str">
        <x:v>Freeze status</x:v>
      </x:c>
      <x:c r="B30" s="64" t="str">
        <x:v>FROZEN — pilot execution may proceed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6.25" hidden="0" customWidth="1"/>
    <x:col min="4" max="4" width="15" hidden="0" customWidth="1"/>
    <x:col min="5" max="5" width="40" hidden="0" customWidth="1"/>
    <x:col min="6" max="6" width="18.1299991607666" hidden="0" customWidth="1"/>
    <x:col min="7" max="7" width="35" hidden="0" customWidth="1"/>
    <x:col min="8" max="8" width="35.630001068115234" hidden="0" customWidth="1"/>
    <x:col min="9" max="9" width="19.3799991607666" hidden="0" customWidth="1"/>
    <x:col min="10" max="10" width="9.380000114440918" hidden="0" customWidth="1"/>
    <x:col min="11" max="11" width="11.25" hidden="0" customWidth="1"/>
    <x:col min="12" max="12" width="11.880000114440918" hidden="0" customWidth="1"/>
    <x:col min="13" max="13" width="10" hidden="0" customWidth="1"/>
    <x:col min="14" max="14" width="17.5" hidden="0" customWidth="1"/>
    <x:col min="15" max="15" width="14.380000114440918" hidden="0" customWidth="1"/>
    <x:col min="16" max="16" width="32.5" hidden="0" customWidth="1"/>
    <x:col min="17" max="17" width="20.6299991607666" hidden="0" customWidth="1"/>
    <x:col min="18" max="18" width="35.630001068115234" hidden="0" customWidth="1"/>
  </x:cols>
  <x:sheetData>
    <x:row r="1" ht="28.5" customHeight="1">
      <x:c r="A1" s="3" t="str">
        <x:v>Dev Items — Frozen Source Register v0.2</x:v>
      </x:c>
      <x:c r="B1" s="3" t="str">
        <x:v>Dev Items — Frozen Source Register v0.1</x:v>
      </x:c>
      <x:c r="C1" s="3" t="str">
        <x:v>Dev Items — Frozen Source Register v0.1</x:v>
      </x:c>
      <x:c r="D1" s="3" t="str">
        <x:v>Dev Items — Frozen Source Register v0.1</x:v>
      </x:c>
      <x:c r="E1" s="3" t="str">
        <x:v>Dev Items — Frozen Source Register v0.1</x:v>
      </x:c>
      <x:c r="F1" s="3" t="str">
        <x:v>Dev Items — Frozen Source Register v0.1</x:v>
      </x:c>
      <x:c r="G1" s="3" t="str">
        <x:v>Dev Items — Frozen Source Register v0.1</x:v>
      </x:c>
      <x:c r="H1" s="3" t="str">
        <x:v>Dev Items — Frozen Source Register v0.1</x:v>
      </x:c>
      <x:c r="I1" s="3" t="str">
        <x:v>Dev Items — Frozen Source Register v0.1</x:v>
      </x:c>
      <x:c r="J1" s="3" t="str">
        <x:v>Dev Items — Frozen Source Register v0.1</x:v>
      </x:c>
      <x:c r="K1" s="3" t="str">
        <x:v>Dev Items — Frozen Source Register v0.1</x:v>
      </x:c>
      <x:c r="L1" s="3" t="str">
        <x:v>Dev Items — Frozen Source Register v0.1</x:v>
      </x:c>
      <x:c r="M1" s="3" t="str">
        <x:v>Dev Items — Frozen Source Register v0.1</x:v>
      </x:c>
      <x:c r="N1" s="3" t="str">
        <x:v>Dev Items — Frozen Source Register v0.1</x:v>
      </x:c>
      <x:c r="O1" s="3" t="str">
        <x:v>Dev Items — Frozen Source Register v0.1</x:v>
      </x:c>
      <x:c r="P1" s="3" t="str">
        <x:v>Dev Items — Frozen Source Register v0.1</x:v>
      </x:c>
      <x:c r="Q1" s="3" t="str">
        <x:v>Dev Items — Frozen Source Register v0.1</x:v>
      </x:c>
      <x:c r="R1" s="3" t="str">
        <x:v>Dev Items — Frozen Source Register v0.1</x:v>
      </x:c>
    </x:row>
    <x:row r="3" ht="36" customHeight="1">
      <x:c r="A3" s="22" t="str">
        <x:v>item_id</x:v>
      </x:c>
      <x:c r="B3" s="22" t="str">
        <x:v>source_fact_id</x:v>
      </x:c>
      <x:c r="C3" s="22" t="str">
        <x:v>knowledge_domain</x:v>
      </x:c>
      <x:c r="D3" s="22" t="str">
        <x:v>knowledge_specificity</x:v>
      </x:c>
      <x:c r="E3" s="22" t="str">
        <x:v>question_tr</x:v>
      </x:c>
      <x:c r="F3" s="22" t="str">
        <x:v>gold_answer</x:v>
      </x:c>
      <x:c r="G3" s="22" t="str">
        <x:v>accepted_answers</x:v>
      </x:c>
      <x:c r="H3" s="22" t="str">
        <x:v>source_url</x:v>
      </x:c>
      <x:c r="I3" s="22" t="str">
        <x:v>source_type</x:v>
      </x:c>
      <x:c r="J3" s="22" t="str">
        <x:v>lexical_leakage</x:v>
      </x:c>
      <x:c r="K3" s="22" t="str">
        <x:v>ambiguity_risk</x:v>
      </x:c>
      <x:c r="L3" s="22" t="str">
        <x:v>temporal_stability</x:v>
      </x:c>
      <x:c r="M3" s="22" t="str">
        <x:v>numeric_answer</x:v>
      </x:c>
      <x:c r="N3" s="22" t="str">
        <x:v>dev_case_type</x:v>
      </x:c>
      <x:c r="O3" s="22" t="str">
        <x:v>item_status</x:v>
      </x:c>
      <x:c r="P3" s="22" t="str">
        <x:v>notes</x:v>
      </x:c>
      <x:c r="Q3" s="22" t="str">
        <x:v>review_route</x:v>
      </x:c>
      <x:c r="R3" s="22" t="str">
        <x:v>boundary_issue_en</x:v>
      </x:c>
    </x:row>
    <x:row r="4" ht="43.5" customHeight="1">
      <x:c r="A4" s="14" t="str">
        <x:v>D001</x:v>
      </x:c>
      <x:c r="B4" s="14" t="str">
        <x:v>F014</x:v>
      </x:c>
      <x:c r="C4" s="14" t="str">
        <x:v>K3 — Preparation &amp; Cooking Techniques</x:v>
      </x:c>
      <x:c r="D4" s="14" t="str">
        <x:v>Technical</x:v>
      </x:c>
      <x:c r="E4" s="14" t="str">
        <x:v>Adana Kebabı için et geleneksel olarak hangi araçla kıyılır?</x:v>
      </x:c>
      <x:c r="F4" s="14" t="str">
        <x:v>Zırh</x:v>
      </x:c>
      <x:c r="G4" s="14" t="str">
        <x:v>zırh</x:v>
      </x:c>
      <x:c r="H4" s="14" t="str">
        <x:v>https://ci.turkpatent.gov.tr/Files/GeographicalSigns/493a7cc8-b7da-4f95-bf8c-f82617bc990a.pdf</x:v>
      </x:c>
      <x:c r="I4" s="14" t="str">
        <x:v>TÜRKPATENT tescil belgesi</x:v>
      </x:c>
      <x:c r="J4" s="14" t="str">
        <x:v>L0</x:v>
      </x:c>
      <x:c r="K4" s="14" t="str">
        <x:v>low</x:v>
      </x:c>
      <x:c r="L4" s="14" t="str">
        <x:v>high</x:v>
      </x:c>
      <x:c r="M4" s="25" t="b">
        <x:v>0</x:v>
      </x:c>
      <x:c r="N4" s="14" t="str">
        <x:v>clear_single_word</x:v>
      </x:c>
      <x:c r="O4" s="14" t="str">
        <x:v>frozen_dev_v0.2</x:v>
      </x:c>
      <x:c r="P4" s="14" t="str">
        <x:v>Kaynakta açıkça tanımlı araç adı. | FREEZE v0.2: Accepted after complete, concordant double review.</x:v>
      </x:c>
      <x:c r="Q4" s="26" t="str">
        <x:v>standard_double_review</x:v>
      </x:c>
      <x:c r="R4" s="26" t="str"/>
    </x:row>
    <x:row r="5" ht="43.5" customHeight="1">
      <x:c r="A5" s="14" t="str">
        <x:v>D002</x:v>
      </x:c>
      <x:c r="B5" s="14" t="str">
        <x:v>F017</x:v>
      </x:c>
      <x:c r="C5" s="14" t="str">
        <x:v>K3 — Preparation &amp; Cooking Techniques</x:v>
      </x:c>
      <x:c r="D5" s="14" t="str">
        <x:v>Local/Technical</x:v>
      </x:c>
      <x:c r="E5" s="14" t="str">
        <x:v>Maraş Tarhanasının kurutulmak üzere serildiği geleneksel hasır örtüye ne ad verilir?</x:v>
      </x:c>
      <x:c r="F5" s="14" t="str">
        <x:v>Çığ</x:v>
      </x:c>
      <x:c r="G5" s="14" t="str">
        <x:v>çığ</x:v>
      </x:c>
      <x:c r="H5" s="14" t="str">
        <x:v>https://ci.turkpatent.gov.tr/Files/GeographicalSigns/8c3d053b-bb27-4305-a46f-398c181d189e.pdf</x:v>
      </x:c>
      <x:c r="I5" s="14" t="str">
        <x:v>TÜRKPATENT tescil belgesi</x:v>
      </x:c>
      <x:c r="J5" s="14" t="str">
        <x:v>L0</x:v>
      </x:c>
      <x:c r="K5" s="14" t="str">
        <x:v>low</x:v>
      </x:c>
      <x:c r="L5" s="14" t="str">
        <x:v>high</x:v>
      </x:c>
      <x:c r="M5" s="25" t="b">
        <x:v>0</x:v>
      </x:c>
      <x:c r="N5" s="14" t="str">
        <x:v>clear_single_word</x:v>
      </x:c>
      <x:c r="O5" s="14" t="str">
        <x:v>frozen_dev_v0.2</x:v>
      </x:c>
      <x:c r="P5" s="14" t="str">
        <x:v>Yerel üretim terminolojisi. | FREEZE v0.2: Clarity revision based on independent adjudicator note; 'hasır' retained to preserve the official source meaning.</x:v>
      </x:c>
      <x:c r="Q5" s="26" t="str">
        <x:v>standard_double_review</x:v>
      </x:c>
      <x:c r="R5" s="26" t="str"/>
    </x:row>
    <x:row r="6" ht="43.5" customHeight="1">
      <x:c r="A6" s="14" t="str">
        <x:v>D003</x:v>
      </x:c>
      <x:c r="B6" s="14" t="str">
        <x:v>F019</x:v>
      </x:c>
      <x:c r="C6" s="14" t="str">
        <x:v>K3 — Preparation &amp; Cooking Techniques</x:v>
      </x:c>
      <x:c r="D6" s="14" t="str">
        <x:v>General</x:v>
      </x:c>
      <x:c r="E6" s="14" t="str">
        <x:v>UNESCO tanımına göre Türk kahvesi hazırlanırken öğütülmüş kahveye başlangıçta hangi sıcaklıktaki su eklenir?</x:v>
      </x:c>
      <x:c r="F6" s="14" t="str">
        <x:v>Soğuk</x:v>
      </x:c>
      <x:c r="G6" s="14" t="str">
        <x:v>soğuk | soğuk su</x:v>
      </x:c>
      <x:c r="H6" s="14" t="str">
        <x:v>https://ich.unesco.org/en/RL/turkish-coffee-culture-and-tradition-00645</x:v>
      </x:c>
      <x:c r="I6" s="14" t="str">
        <x:v>UNESCO ICH kaydı</x:v>
      </x:c>
      <x:c r="J6" s="14" t="str">
        <x:v>L0</x:v>
      </x:c>
      <x:c r="K6" s="14" t="str">
        <x:v>low</x:v>
      </x:c>
      <x:c r="L6" s="14" t="str">
        <x:v>high</x:v>
      </x:c>
      <x:c r="M6" s="25" t="b">
        <x:v>0</x:v>
      </x:c>
      <x:c r="N6" s="14" t="str">
        <x:v>clear_single_word</x:v>
      </x:c>
      <x:c r="O6" s="14" t="str">
        <x:v>frozen_dev_v0.2</x:v>
      </x:c>
      <x:c r="P6" s="14" t="str">
        <x:v>Gold tek kelime; 'soğuk su' da kabul edilir. | FREEZE v0.2: Accepted after complete, concordant double review.</x:v>
      </x:c>
      <x:c r="Q6" s="26" t="str">
        <x:v>standard_double_review</x:v>
      </x:c>
      <x:c r="R6" s="26" t="str"/>
    </x:row>
    <x:row r="7" ht="43.5" customHeight="1">
      <x:c r="A7" s="14" t="str">
        <x:v>D004</x:v>
      </x:c>
      <x:c r="B7" s="14" t="str">
        <x:v>F028</x:v>
      </x:c>
      <x:c r="C7" s="14" t="str">
        <x:v>K5 — Culinary Terminology &amp; Traditional Practices</x:v>
      </x:c>
      <x:c r="D7" s="14" t="str">
        <x:v>General/Heritage</x:v>
      </x:c>
      <x:c r="E7" s="14" t="str">
        <x:v>UNESCO'ya göre Türk kahvesine geleneksel olarak hangi içecek eşlik eder?</x:v>
      </x:c>
      <x:c r="F7" s="14" t="str">
        <x:v>Su</x:v>
      </x:c>
      <x:c r="G7" s="14" t="str">
        <x:v>su | bir bardak su</x:v>
      </x:c>
      <x:c r="H7" s="14" t="str">
        <x:v>https://ich.unesco.org/en/RL/turkish-coffee-culture-and-tradition-00645</x:v>
      </x:c>
      <x:c r="I7" s="14" t="str">
        <x:v>UNESCO ICH kaydı</x:v>
      </x:c>
      <x:c r="J7" s="14" t="str">
        <x:v>L0</x:v>
      </x:c>
      <x:c r="K7" s="14" t="str">
        <x:v>low</x:v>
      </x:c>
      <x:c r="L7" s="14" t="str">
        <x:v>high</x:v>
      </x:c>
      <x:c r="M7" s="25" t="b">
        <x:v>0</x:v>
      </x:c>
      <x:c r="N7" s="14" t="str">
        <x:v>clear_single_word</x:v>
      </x:c>
      <x:c r="O7" s="14" t="str">
        <x:v>frozen_dev_v0.2</x:v>
      </x:c>
      <x:c r="P7" s="14" t="str">
        <x:v>Kaynak bir bardak suyu belirtir. | FREEZE v0.2: Accepted after complete, concordant double review.</x:v>
      </x:c>
      <x:c r="Q7" s="26" t="str">
        <x:v>standard_double_review</x:v>
      </x:c>
      <x:c r="R7" s="26" t="str"/>
    </x:row>
    <x:row r="8" ht="43.5" customHeight="1">
      <x:c r="A8" s="14" t="str">
        <x:v>D005</x:v>
      </x:c>
      <x:c r="B8" s="14" t="str">
        <x:v>F056</x:v>
      </x:c>
      <x:c r="C8" s="14" t="str">
        <x:v>K2 — Ingredients &amp; Composition</x:v>
      </x:c>
      <x:c r="D8" s="14" t="str">
        <x:v>Regional</x:v>
      </x:c>
      <x:c r="E8" s="14" t="str">
        <x:v>Antalya Piyazını diğer piyazlardan ayıran karakteristik sos nedir?</x:v>
      </x:c>
      <x:c r="F8" s="14" t="str">
        <x:v>Tarator</x:v>
      </x:c>
      <x:c r="G8" s="14" t="str">
        <x:v>tarator | tarator sosu</x:v>
      </x:c>
      <x:c r="H8" s="14" t="str">
        <x:v>https://ci.turkpatent.gov.tr/Files/GeographicalSigns/315.pdf</x:v>
      </x:c>
      <x:c r="I8" s="14" t="str">
        <x:v>TÜRKPATENT tescil belgesi</x:v>
      </x:c>
      <x:c r="J8" s="14" t="str">
        <x:v>L0</x:v>
      </x:c>
      <x:c r="K8" s="14" t="str">
        <x:v>low</x:v>
      </x:c>
      <x:c r="L8" s="14" t="str">
        <x:v>high</x:v>
      </x:c>
      <x:c r="M8" s="25" t="b">
        <x:v>0</x:v>
      </x:c>
      <x:c r="N8" s="14" t="str">
        <x:v>clear_single_word</x:v>
      </x:c>
      <x:c r="O8" s="14" t="str">
        <x:v>frozen_dev_v0.2</x:v>
      </x:c>
      <x:c r="P8" s="14" t="str">
        <x:v>Ayırt edici sos. | FREEZE v0.2: Accepted after complete, concordant double review.</x:v>
      </x:c>
      <x:c r="Q8" s="26" t="str">
        <x:v>standard_double_review</x:v>
      </x:c>
      <x:c r="R8" s="26" t="str"/>
    </x:row>
    <x:row r="9" ht="43.5" customHeight="1">
      <x:c r="A9" s="14" t="str">
        <x:v>D006</x:v>
      </x:c>
      <x:c r="B9" s="14" t="str">
        <x:v>F060</x:v>
      </x:c>
      <x:c r="C9" s="14" t="str">
        <x:v>K3 — Preparation &amp; Cooking Techniques</x:v>
      </x:c>
      <x:c r="D9" s="14" t="str">
        <x:v>Local/Technical</x:v>
      </x:c>
      <x:c r="E9" s="14" t="str">
        <x:v>Tarsus Humusunda pişmiş nohut geleneksel olarak hangi araçla ezilir?</x:v>
      </x:c>
      <x:c r="F9" s="14" t="str">
        <x:v>Tokmak</x:v>
      </x:c>
      <x:c r="G9" s="14" t="str">
        <x:v>tokmak</x:v>
      </x:c>
      <x:c r="H9" s="14" t="str">
        <x:v>https://ci.turkpatent.gov.tr/Files/GeographicalSigns/226.pdf</x:v>
      </x:c>
      <x:c r="I9" s="14" t="str">
        <x:v>TÜRKPATENT tescil belgesi</x:v>
      </x:c>
      <x:c r="J9" s="14" t="str">
        <x:v>L0</x:v>
      </x:c>
      <x:c r="K9" s="14" t="str">
        <x:v>low</x:v>
      </x:c>
      <x:c r="L9" s="14" t="str">
        <x:v>high</x:v>
      </x:c>
      <x:c r="M9" s="25" t="b">
        <x:v>0</x:v>
      </x:c>
      <x:c r="N9" s="14" t="str">
        <x:v>clear_single_word</x:v>
      </x:c>
      <x:c r="O9" s="14" t="str">
        <x:v>frozen_dev_v0.2</x:v>
      </x:c>
      <x:c r="P9" s="14" t="str">
        <x:v>Geleneksel araç bilgisi. | FREEZE v0.2: Accepted after complete, concordant double review.</x:v>
      </x:c>
      <x:c r="Q9" s="26" t="str">
        <x:v>standard_double_review</x:v>
      </x:c>
      <x:c r="R9" s="26" t="str"/>
    </x:row>
    <x:row r="10" ht="43.5" customHeight="1">
      <x:c r="A10" s="14" t="str">
        <x:v>D007</x:v>
      </x:c>
      <x:c r="B10" s="14" t="str">
        <x:v>F065</x:v>
      </x:c>
      <x:c r="C10" s="14" t="str">
        <x:v>K2 — Ingredients &amp; Composition</x:v>
      </x:c>
      <x:c r="D10" s="14" t="str">
        <x:v>Local</x:v>
      </x:c>
      <x:c r="E10" s="14" t="str">
        <x:v>Erzincan Kesme Kadayıfında yufka katlarının arasına hangi kuruyemiş konur?</x:v>
      </x:c>
      <x:c r="F10" s="14" t="str">
        <x:v>Ceviz</x:v>
      </x:c>
      <x:c r="G10" s="14" t="str">
        <x:v>ceviz | ceviz içi</x:v>
      </x:c>
      <x:c r="H10" s="14" t="str">
        <x:v>https://ci.turkpatent.gov.tr/Files/GeographicalSigns/5212ffda-73e7-4b2a-955b-49d1d24c8dd8.pdf</x:v>
      </x:c>
      <x:c r="I10" s="14" t="str">
        <x:v>TÜRKPATENT tescil belgesi</x:v>
      </x:c>
      <x:c r="J10" s="14" t="str">
        <x:v>L0</x:v>
      </x:c>
      <x:c r="K10" s="14" t="str">
        <x:v>low</x:v>
      </x:c>
      <x:c r="L10" s="14" t="str">
        <x:v>high</x:v>
      </x:c>
      <x:c r="M10" s="25" t="b">
        <x:v>0</x:v>
      </x:c>
      <x:c r="N10" s="14" t="str">
        <x:v>clear_single_word</x:v>
      </x:c>
      <x:c r="O10" s="14" t="str">
        <x:v>frozen_dev_v0.2</x:v>
      </x:c>
      <x:c r="P10" s="14" t="str">
        <x:v>İç malzeme. | FREEZE v0.2: Accepted after complete, concordant double review.</x:v>
      </x:c>
      <x:c r="Q10" s="26" t="str">
        <x:v>standard_double_review</x:v>
      </x:c>
      <x:c r="R10" s="26" t="str"/>
    </x:row>
    <x:row r="11" ht="43.5" customHeight="1">
      <x:c r="A11" s="14" t="str">
        <x:v>D008</x:v>
      </x:c>
      <x:c r="B11" s="14" t="str">
        <x:v>F068</x:v>
      </x:c>
      <x:c r="C11" s="14" t="str">
        <x:v>K2 — Ingredients &amp; Composition</x:v>
      </x:c>
      <x:c r="D11" s="14" t="str">
        <x:v>Local</x:v>
      </x:c>
      <x:c r="E11" s="14" t="str">
        <x:v>Diyarbakır Kaburga Dolmasının pirinçli iç harcında hangi kuruyemiş kullanılır?</x:v>
      </x:c>
      <x:c r="F11" s="14" t="str">
        <x:v>Badem</x:v>
      </x:c>
      <x:c r="G11" s="14" t="str">
        <x:v>badem | badem içi</x:v>
      </x:c>
      <x:c r="H11" s="14" t="str">
        <x:v>https://ci.turkpatent.gov.tr/Files/GeographicalSigns/ffe64b55-cc1a-4e1f-90ff-1f9a90128a25.pdf</x:v>
      </x:c>
      <x:c r="I11" s="14" t="str">
        <x:v>TÜRKPATENT tescil belgesi</x:v>
      </x:c>
      <x:c r="J11" s="14" t="str">
        <x:v>L0</x:v>
      </x:c>
      <x:c r="K11" s="14" t="str">
        <x:v>low</x:v>
      </x:c>
      <x:c r="L11" s="14" t="str">
        <x:v>high</x:v>
      </x:c>
      <x:c r="M11" s="25" t="b">
        <x:v>0</x:v>
      </x:c>
      <x:c r="N11" s="14" t="str">
        <x:v>clear_single_word</x:v>
      </x:c>
      <x:c r="O11" s="14" t="str">
        <x:v>frozen_dev_v0.2</x:v>
      </x:c>
      <x:c r="P11" s="14" t="str">
        <x:v>İç harç bileşeni. | FREEZE v0.2: Accepted after complete, concordant double review.</x:v>
      </x:c>
      <x:c r="Q11" s="26" t="str">
        <x:v>standard_double_review</x:v>
      </x:c>
      <x:c r="R11" s="26" t="str"/>
    </x:row>
    <x:row r="12" ht="43.5" customHeight="1">
      <x:c r="A12" s="14" t="str">
        <x:v>D009</x:v>
      </x:c>
      <x:c r="B12" s="14" t="str">
        <x:v>F009</x:v>
      </x:c>
      <x:c r="C12" s="14" t="str">
        <x:v>K2 — Ingredients &amp; Composition</x:v>
      </x:c>
      <x:c r="D12" s="14" t="str">
        <x:v>Regional</x:v>
      </x:c>
      <x:c r="E12" s="14" t="str">
        <x:v>Maraş Tarhanasının iki temel bileşeni nedir?</x:v>
      </x:c>
      <x:c r="F12" s="14" t="str">
        <x:v>Yoğurt ve dövme</x:v>
      </x:c>
      <x:c r="G12" s="14" t="str">
        <x:v>yoğurt ve dövme | yoğurt ve buğday yarması | yoğurt ile dövme | yoğurt ile buğday yarması</x:v>
      </x:c>
      <x:c r="H12" s="14" t="str">
        <x:v>https://ci.turkpatent.gov.tr/Files/GeographicalSigns/8c3d053b-bb27-4305-a46f-398c181d189e.pdf</x:v>
      </x:c>
      <x:c r="I12" s="14" t="str">
        <x:v>TÜRKPATENT tescil belgesi</x:v>
      </x:c>
      <x:c r="J12" s="14" t="str">
        <x:v>L0</x:v>
      </x:c>
      <x:c r="K12" s="14" t="str">
        <x:v>medium</x:v>
      </x:c>
      <x:c r="L12" s="14" t="str">
        <x:v>high</x:v>
      </x:c>
      <x:c r="M12" s="25" t="b">
        <x:v>0</x:v>
      </x:c>
      <x:c r="N12" s="14" t="str">
        <x:v>multi_word_accepted</x:v>
      </x:c>
      <x:c r="O12" s="14" t="str">
        <x:v>frozen_dev_v0.2</x:v>
      </x:c>
      <x:c r="P12" s="14" t="str">
        <x:v>RESOLVED DURING VALIDATION: İki bileşenin de zorunlu olduğu scoring kuralı onaylanmalı. | FREEZE v0.2: Accepted after complete, concordant double review.</x:v>
      </x:c>
      <x:c r="Q12" s="26" t="str">
        <x:v>enhanced_double_review</x:v>
      </x:c>
      <x:c r="R12" s="26" t="str">
        <x:v>Confirm that both answer components are mandatory.</x:v>
      </x:c>
    </x:row>
    <x:row r="13" ht="43.5" customHeight="1">
      <x:c r="A13" s="14" t="str">
        <x:v>D010</x:v>
      </x:c>
      <x:c r="B13" s="14" t="str">
        <x:v>F031</x:v>
      </x:c>
      <x:c r="C13" s="14" t="str">
        <x:v>K5 — Culinary Terminology &amp; Traditional Practices</x:v>
      </x:c>
      <x:c r="D13" s="14" t="str">
        <x:v>General/Heritage</x:v>
      </x:c>
      <x:c r="E13" s="14" t="str">
        <x:v>UNESCO tanımına göre çay geleneksel olarak hangi biçimdeki bardaklarda servis edilir?</x:v>
      </x:c>
      <x:c r="F13" s="14" t="str">
        <x:v>Armut biçimli bardak</x:v>
      </x:c>
      <x:c r="G13" s="14" t="str">
        <x:v>armut biçimli bardak | armut şeklinde bardak | armut biçimli bardaklar | armut şeklinde bardaklar</x:v>
      </x:c>
      <x:c r="H13" s="14" t="str">
        <x:v>https://ich.unesco.org/en/RL/culture-of-cay-tea-a-symbol-of-identity-hospitality-and-social-interaction-01685</x:v>
      </x:c>
      <x:c r="I13" s="14" t="str">
        <x:v>UNESCO ICH kaydı</x:v>
      </x:c>
      <x:c r="J13" s="14" t="str">
        <x:v>L0</x:v>
      </x:c>
      <x:c r="K13" s="14" t="str">
        <x:v>medium</x:v>
      </x:c>
      <x:c r="L13" s="14" t="str">
        <x:v>high</x:v>
      </x:c>
      <x:c r="M13" s="25" t="b">
        <x:v>0</x:v>
      </x:c>
      <x:c r="N13" s="14" t="str">
        <x:v>multi_word_accepted</x:v>
      </x:c>
      <x:c r="O13" s="14" t="str">
        <x:v>frozen_dev_v0.2</x:v>
      </x:c>
      <x:c r="P13" s="14" t="str">
        <x:v>RESOLVED DURING VALIDATION: 'İnce belli bardak' kabul listesine eklenmeli mi doğrulanmalı. | FREEZE v0.2: Accepted after complete, concordant double review.</x:v>
      </x:c>
      <x:c r="Q13" s="26" t="str">
        <x:v>enhanced_double_review</x:v>
      </x:c>
      <x:c r="R13" s="26" t="str">
        <x:v>Decide whether 'ince belli bardak' should be accepted.</x:v>
      </x:c>
    </x:row>
    <x:row r="14" ht="43.5" customHeight="1">
      <x:c r="A14" s="14" t="str">
        <x:v>D011</x:v>
      </x:c>
      <x:c r="B14" s="14" t="str">
        <x:v>F083</x:v>
      </x:c>
      <x:c r="C14" s="14" t="str">
        <x:v>K5 — Culinary Terminology &amp; Traditional Practices</x:v>
      </x:c>
      <x:c r="D14" s="14" t="str">
        <x:v>Regional/Heritage</x:v>
      </x:c>
      <x:c r="E14" s="14" t="str">
        <x:v>UNESCO kaydına göre Türkiye'de düğünlerde yassı ekmek kimlere verilir?</x:v>
      </x:c>
      <x:c r="F14" s="14" t="str">
        <x:v>Çiftin komşularına</x:v>
      </x:c>
      <x:c r="G14" s="14" t="str">
        <x:v>çiftin komşularına | yeni evli çiftin komşularına | komşulara</x:v>
      </x:c>
      <x:c r="H14" s="14" t="str">
        <x:v>https://ich.unesco.org/en/RL/flatbread-making-and-sharing-culture-lavash-katyrma-jupka-yufka-01181</x:v>
      </x:c>
      <x:c r="I14" s="14" t="str">
        <x:v>UNESCO ICH kaydı</x:v>
      </x:c>
      <x:c r="J14" s="14" t="str">
        <x:v>L0</x:v>
      </x:c>
      <x:c r="K14" s="14" t="str">
        <x:v>low</x:v>
      </x:c>
      <x:c r="L14" s="14" t="str">
        <x:v>high</x:v>
      </x:c>
      <x:c r="M14" s="25" t="b">
        <x:v>0</x:v>
      </x:c>
      <x:c r="N14" s="14" t="str">
        <x:v>multi_word_accepted</x:v>
      </x:c>
      <x:c r="O14" s="14" t="str">
        <x:v>frozen_dev_v0.2</x:v>
      </x:c>
      <x:c r="P14" s="14" t="str">
        <x:v>Türkiye'ye özgü düğün bağlamı. | FREEZE v0.2: Accepted after complete, concordant double review.</x:v>
      </x:c>
      <x:c r="Q14" s="26" t="str">
        <x:v>standard_double_review</x:v>
      </x:c>
      <x:c r="R14" s="26" t="str"/>
    </x:row>
    <x:row r="15" ht="43.5" customHeight="1">
      <x:c r="A15" s="14" t="str">
        <x:v>D012</x:v>
      </x:c>
      <x:c r="B15" s="14" t="str">
        <x:v>F087</x:v>
      </x:c>
      <x:c r="C15" s="14" t="str">
        <x:v>K5 — Culinary Terminology &amp; Traditional Practices</x:v>
      </x:c>
      <x:c r="D15" s="14" t="str">
        <x:v>Local/Heritage</x:v>
      </x:c>
      <x:c r="E15" s="14" t="str">
        <x:v>Törensel Keşkek geleneğinde buğday taşınırken hangi iki çalgı çalınır?</x:v>
      </x:c>
      <x:c r="F15" s="14" t="str">
        <x:v>Davul ve zurna</x:v>
      </x:c>
      <x:c r="G15" s="14" t="str">
        <x:v>davul ve zurna | zurna ve davul</x:v>
      </x:c>
      <x:c r="H15" s="14" t="str">
        <x:v>https://ich.unesco.org/en/RL/ceremonial-keskek-tradition-00388</x:v>
      </x:c>
      <x:c r="I15" s="14" t="str">
        <x:v>UNESCO ICH kaydı</x:v>
      </x:c>
      <x:c r="J15" s="14" t="str">
        <x:v>L0</x:v>
      </x:c>
      <x:c r="K15" s="14" t="str">
        <x:v>low</x:v>
      </x:c>
      <x:c r="L15" s="14" t="str">
        <x:v>high</x:v>
      </x:c>
      <x:c r="M15" s="25" t="b">
        <x:v>0</x:v>
      </x:c>
      <x:c r="N15" s="14" t="str">
        <x:v>multi_word_accepted</x:v>
      </x:c>
      <x:c r="O15" s="14" t="str">
        <x:v>frozen_dev_v0.2</x:v>
      </x:c>
      <x:c r="P15" s="14" t="str">
        <x:v>İki çalgı da gerekli; sıra önemsiz. | FREEZE v0.2: Accepted after complete, concordant double review.</x:v>
      </x:c>
      <x:c r="Q15" s="26" t="str">
        <x:v>standard_double_review</x:v>
      </x:c>
      <x:c r="R15" s="26" t="str"/>
    </x:row>
    <x:row r="16" ht="43.5" customHeight="1">
      <x:c r="A16" s="14" t="str">
        <x:v>D013</x:v>
      </x:c>
      <x:c r="B16" s="14" t="str">
        <x:v>F100</x:v>
      </x:c>
      <x:c r="C16" s="14" t="str">
        <x:v>K6 — Culinary History, Heritage &amp; Cultural Context</x:v>
      </x:c>
      <x:c r="D16" s="14" t="str">
        <x:v>General/Heritage</x:v>
      </x:c>
      <x:c r="E16" s="14" t="str">
        <x:v>Kültür Portalına göre aşurenin temsil ettiği iki temel kavram nedir?</x:v>
      </x:c>
      <x:c r="F16" s="14" t="str">
        <x:v>Bolluk ve bereket</x:v>
      </x:c>
      <x:c r="G16" s="14" t="str">
        <x:v>bolluk ve bereket | bereket ve bolluk</x:v>
      </x:c>
      <x:c r="H16" s="14" t="str">
        <x:v>https://kulturportali.gov.tr/portal/geleneksel-lezzetler--7-ozel-gun-yemegi</x:v>
      </x:c>
      <x:c r="I16" s="14" t="str">
        <x:v>Kültür ve Turizm Bakanlığı Kültür Portalı</x:v>
      </x:c>
      <x:c r="J16" s="14" t="str">
        <x:v>L0</x:v>
      </x:c>
      <x:c r="K16" s="14" t="str">
        <x:v>low</x:v>
      </x:c>
      <x:c r="L16" s="14" t="str">
        <x:v>high</x:v>
      </x:c>
      <x:c r="M16" s="25" t="b">
        <x:v>0</x:v>
      </x:c>
      <x:c r="N16" s="14" t="str">
        <x:v>multi_word_accepted</x:v>
      </x:c>
      <x:c r="O16" s="14" t="str">
        <x:v>frozen_dev_v0.2</x:v>
      </x:c>
      <x:c r="P16" s="14" t="str">
        <x:v>İki kavram da gerekli; sıra önemsiz. | FREEZE v0.2: Accepted after complete, concordant double review.</x:v>
      </x:c>
      <x:c r="Q16" s="26" t="str">
        <x:v>standard_double_review</x:v>
      </x:c>
      <x:c r="R16" s="26" t="str"/>
    </x:row>
    <x:row r="17" ht="43.5" customHeight="1">
      <x:c r="A17" s="14" t="str">
        <x:v>D014</x:v>
      </x:c>
      <x:c r="B17" s="14" t="str">
        <x:v>F112</x:v>
      </x:c>
      <x:c r="C17" s="14" t="str">
        <x:v>K6 — Culinary History, Heritage &amp; Cultural Context</x:v>
      </x:c>
      <x:c r="D17" s="14" t="str">
        <x:v>Local/Heritage</x:v>
      </x:c>
      <x:c r="E17" s="14" t="str">
        <x:v>Tekirdağ'daki Herise geleneğinde düğün için hazırlanan yemekten özellikle hangi iki gruba gönderilir?</x:v>
      </x:c>
      <x:c r="F17" s="14" t="str">
        <x:v>Hasta ve yaşlılar</x:v>
      </x:c>
      <x:c r="G17" s="14" t="str">
        <x:v>hasta ve yaşlılar | yaşlı ve hastalar | hastalara ve yaşlılara | yaşlılara ve hastalara</x:v>
      </x:c>
      <x:c r="H17" s="14" t="str">
        <x:v>https://www.kulturportali.gov.tr/turkiye/tekirdag/neyenir/herise-keskek</x:v>
      </x:c>
      <x:c r="I17" s="14" t="str">
        <x:v>Kültür ve Turizm Bakanlığı Kültür Portalı</x:v>
      </x:c>
      <x:c r="J17" s="14" t="str">
        <x:v>L0</x:v>
      </x:c>
      <x:c r="K17" s="14" t="str">
        <x:v>low</x:v>
      </x:c>
      <x:c r="L17" s="14" t="str">
        <x:v>high</x:v>
      </x:c>
      <x:c r="M17" s="25" t="b">
        <x:v>0</x:v>
      </x:c>
      <x:c r="N17" s="14" t="str">
        <x:v>multi_word_accepted</x:v>
      </x:c>
      <x:c r="O17" s="14" t="str">
        <x:v>frozen_dev_v0.2</x:v>
      </x:c>
      <x:c r="P17" s="14" t="str">
        <x:v>İki hedef grup da gerekli. | FREEZE v0.2: Accepted after complete, concordant double review.</x:v>
      </x:c>
      <x:c r="Q17" s="26" t="str">
        <x:v>standard_double_review</x:v>
      </x:c>
      <x:c r="R17" s="26" t="str"/>
    </x:row>
    <x:row r="18" ht="43.5" customHeight="1">
      <x:c r="A18" s="14" t="str">
        <x:v>D015</x:v>
      </x:c>
      <x:c r="B18" s="14" t="str">
        <x:v>F059</x:v>
      </x:c>
      <x:c r="C18" s="14" t="str">
        <x:v>K5 — Culinary Terminology &amp; Traditional Practices</x:v>
      </x:c>
      <x:c r="D18" s="14" t="str">
        <x:v>Local/Technical</x:v>
      </x:c>
      <x:c r="E18" s="14" t="str">
        <x:v>Tarsus Humusunda nohutların ezildiği geleneksel bakır kabın adı nedir?</x:v>
      </x:c>
      <x:c r="F18" s="14" t="str">
        <x:v>Humus Tası</x:v>
      </x:c>
      <x:c r="G18" s="14" t="str">
        <x:v>humus tası | humus tasi</x:v>
      </x:c>
      <x:c r="H18" s="14" t="str">
        <x:v>https://ci.turkpatent.gov.tr/Files/GeographicalSigns/226.pdf</x:v>
      </x:c>
      <x:c r="I18" s="14" t="str">
        <x:v>TÜRKPATENT tescil belgesi</x:v>
      </x:c>
      <x:c r="J18" s="14" t="str">
        <x:v>L0</x:v>
      </x:c>
      <x:c r="K18" s="14" t="str">
        <x:v>low</x:v>
      </x:c>
      <x:c r="L18" s="14" t="str">
        <x:v>high</x:v>
      </x:c>
      <x:c r="M18" s="25" t="b">
        <x:v>0</x:v>
      </x:c>
      <x:c r="N18" s="14" t="str">
        <x:v>local_terminology</x:v>
      </x:c>
      <x:c r="O18" s="14" t="str">
        <x:v>frozen_dev_v0.2</x:v>
      </x:c>
      <x:c r="P18" s="14" t="str">
        <x:v>Özel kap adı. | FREEZE v0.2: Accepted after complete, concordant double review.</x:v>
      </x:c>
      <x:c r="Q18" s="26" t="str">
        <x:v>standard_double_review</x:v>
      </x:c>
      <x:c r="R18" s="26" t="str"/>
    </x:row>
    <x:row r="19" ht="43.5" customHeight="1">
      <x:c r="A19" s="14" t="str">
        <x:v>D016</x:v>
      </x:c>
      <x:c r="B19" s="14" t="str">
        <x:v>F102</x:v>
      </x:c>
      <x:c r="C19" s="14" t="str">
        <x:v>K5 — Culinary Terminology &amp; Traditional Practices</x:v>
      </x:c>
      <x:c r="D19" s="14" t="str">
        <x:v>Local</x:v>
      </x:c>
      <x:c r="E19" s="14" t="str">
        <x:v>İzmir kültüründe lokmanın özel günlerde hazırlanarak halka ücretsiz dağıtılması geleneğine ne ad verilir?</x:v>
      </x:c>
      <x:c r="F19" s="14" t="str">
        <x:v>Lokma dökmek</x:v>
      </x:c>
      <x:c r="G19" s="14" t="str">
        <x:v>lokma dökmek | lokma döktürmek</x:v>
      </x:c>
      <x:c r="H19" s="14" t="str">
        <x:v>https://kulturportali.gov.tr/turkiye/izmir/neyenir/lokma-zmir-lokmasi</x:v>
      </x:c>
      <x:c r="I19" s="14" t="str">
        <x:v>Kültür ve Turizm Bakanlığı Kültür Portalı</x:v>
      </x:c>
      <x:c r="J19" s="14" t="str">
        <x:v>L0</x:v>
      </x:c>
      <x:c r="K19" s="14" t="str">
        <x:v>low</x:v>
      </x:c>
      <x:c r="L19" s="14" t="str">
        <x:v>high</x:v>
      </x:c>
      <x:c r="M19" s="25" t="b">
        <x:v>0</x:v>
      </x:c>
      <x:c r="N19" s="14" t="str">
        <x:v>local_terminology</x:v>
      </x:c>
      <x:c r="O19" s="14" t="str">
        <x:v>frozen_dev_v0.2</x:v>
      </x:c>
      <x:c r="P19" s="14" t="str">
        <x:v>İki yerel fiil biçimi kabul edilir. | FREEZE v0.2: Accepted after complete, concordant double review.</x:v>
      </x:c>
      <x:c r="Q19" s="26" t="str">
        <x:v>standard_double_review</x:v>
      </x:c>
      <x:c r="R19" s="26" t="str"/>
    </x:row>
    <x:row r="20" ht="43.5" customHeight="1">
      <x:c r="A20" s="14" t="str">
        <x:v>D017</x:v>
      </x:c>
      <x:c r="B20" s="14" t="str">
        <x:v>F104</x:v>
      </x:c>
      <x:c r="C20" s="14" t="str">
        <x:v>K5 — Culinary Terminology &amp; Traditional Practices</x:v>
      </x:c>
      <x:c r="D20" s="14" t="str">
        <x:v>Local</x:v>
      </x:c>
      <x:c r="E20" s="14" t="str">
        <x:v>İzmir'in bazı yörelerinde Sura'nın üzerine sarılan yağlı zar tabakasına verilen geleneksel adlardan biri nedir?</x:v>
      </x:c>
      <x:c r="F20" s="14" t="str">
        <x:v>Gömlek</x:v>
      </x:c>
      <x:c r="G20" s="14" t="str">
        <x:v>gömlek | çember</x:v>
      </x:c>
      <x:c r="H20" s="14" t="str">
        <x:v>https://www.kulturportali.gov.tr/turkiye/izmir/neyenir/cop-ss</x:v>
      </x:c>
      <x:c r="I20" s="14" t="str">
        <x:v>Kültür ve Turizm Bakanlığı Kültür Portalı</x:v>
      </x:c>
      <x:c r="J20" s="14" t="str">
        <x:v>L0</x:v>
      </x:c>
      <x:c r="K20" s="14" t="str">
        <x:v>medium</x:v>
      </x:c>
      <x:c r="L20" s="14" t="str">
        <x:v>high</x:v>
      </x:c>
      <x:c r="M20" s="25" t="b">
        <x:v>0</x:v>
      </x:c>
      <x:c r="N20" s="14" t="str">
        <x:v>local_terminology</x:v>
      </x:c>
      <x:c r="O20" s="14" t="str">
        <x:v>frozen_dev_v0.2</x:v>
      </x:c>
      <x:c r="P20" s="14" t="str">
        <x:v>RESOLVED DURING VALIDATION: İki yerel adın eşdeğer kabulü doğrulanmalı. | FREEZE v0.2: Accepted after complete, concordant double review.</x:v>
      </x:c>
      <x:c r="Q20" s="26" t="str">
        <x:v>enhanced_double_review</x:v>
      </x:c>
      <x:c r="R20" s="26" t="str">
        <x:v>Verify equivalence of the two local terms.</x:v>
      </x:c>
    </x:row>
    <x:row r="21" ht="43.5" customHeight="1">
      <x:c r="A21" s="14" t="str">
        <x:v>D018</x:v>
      </x:c>
      <x:c r="B21" s="14" t="str">
        <x:v>F106</x:v>
      </x:c>
      <x:c r="C21" s="14" t="str">
        <x:v>K5 — Culinary Terminology &amp; Traditional Practices</x:v>
      </x:c>
      <x:c r="D21" s="14" t="str">
        <x:v>Local</x:v>
      </x:c>
      <x:c r="E21" s="14" t="str">
        <x:v>İzmir mutfağındaki cibez, Tire civarında hangi adla da bilinir?</x:v>
      </x:c>
      <x:c r="F21" s="14" t="str">
        <x:v>Cücük</x:v>
      </x:c>
      <x:c r="G21" s="14" t="str">
        <x:v>cücük</x:v>
      </x:c>
      <x:c r="H21" s="14" t="str">
        <x:v>https://kulturportali.gov.tr/turkiye/izmir/neyenir/cbez-cibes-salatasi</x:v>
      </x:c>
      <x:c r="I21" s="14" t="str">
        <x:v>Kültür ve Turizm Bakanlığı Kültür Portalı</x:v>
      </x:c>
      <x:c r="J21" s="14" t="str">
        <x:v>L1</x:v>
      </x:c>
      <x:c r="K21" s="14" t="str">
        <x:v>low</x:v>
      </x:c>
      <x:c r="L21" s="14" t="str">
        <x:v>high</x:v>
      </x:c>
      <x:c r="M21" s="25" t="b">
        <x:v>0</x:v>
      </x:c>
      <x:c r="N21" s="14" t="str">
        <x:v>local_terminology</x:v>
      </x:c>
      <x:c r="O21" s="14" t="str">
        <x:v>frozen_dev_v0.2</x:v>
      </x:c>
      <x:c r="P21" s="14" t="str">
        <x:v>L1: yöre ve ana terim bağlamı cevabı daraltır. | FREEZE v0.2: Accepted after complete, concordant double review.</x:v>
      </x:c>
      <x:c r="Q21" s="26" t="str">
        <x:v>standard_double_review</x:v>
      </x:c>
      <x:c r="R21" s="26" t="str"/>
    </x:row>
    <x:row r="22" ht="43.5" customHeight="1">
      <x:c r="A22" s="14" t="str">
        <x:v>D019</x:v>
      </x:c>
      <x:c r="B22" s="14" t="str">
        <x:v>F113</x:v>
      </x:c>
      <x:c r="C22" s="14" t="str">
        <x:v>K5 — Culinary Terminology &amp; Traditional Practices</x:v>
      </x:c>
      <x:c r="D22" s="14" t="str">
        <x:v>Local</x:v>
      </x:c>
      <x:c r="E22" s="14" t="str">
        <x:v>Edirne mutfağındaki Kaçamak başka hangi adla bilinir?</x:v>
      </x:c>
      <x:c r="F22" s="14" t="str">
        <x:v>Mamaliga</x:v>
      </x:c>
      <x:c r="G22" s="14" t="str">
        <x:v>mamaliga</x:v>
      </x:c>
      <x:c r="H22" s="14" t="str">
        <x:v>https://www.kulturportali.gov.tr/turkiye/edirne/neyenir/kacamak-2</x:v>
      </x:c>
      <x:c r="I22" s="14" t="str">
        <x:v>Kültür ve Turizm Bakanlığı Kültür Portalı</x:v>
      </x:c>
      <x:c r="J22" s="14" t="str">
        <x:v>L1</x:v>
      </x:c>
      <x:c r="K22" s="14" t="str">
        <x:v>low</x:v>
      </x:c>
      <x:c r="L22" s="14" t="str">
        <x:v>high</x:v>
      </x:c>
      <x:c r="M22" s="25" t="b">
        <x:v>0</x:v>
      </x:c>
      <x:c r="N22" s="14" t="str">
        <x:v>local_terminology</x:v>
      </x:c>
      <x:c r="O22" s="14" t="str">
        <x:v>frozen_dev_v0.2</x:v>
      </x:c>
      <x:c r="P22" s="14" t="str">
        <x:v>L1: ana yemek adı bağlam sağlar. | FREEZE v0.2: Accepted after complete, concordant double review.</x:v>
      </x:c>
      <x:c r="Q22" s="26" t="str">
        <x:v>standard_double_review</x:v>
      </x:c>
      <x:c r="R22" s="26" t="str"/>
    </x:row>
    <x:row r="23" ht="43.5" customHeight="1">
      <x:c r="A23" s="14" t="str">
        <x:v>D020</x:v>
      </x:c>
      <x:c r="B23" s="14" t="str">
        <x:v>F116</x:v>
      </x:c>
      <x:c r="C23" s="14" t="str">
        <x:v>K5 — Culinary Terminology &amp; Traditional Practices</x:v>
      </x:c>
      <x:c r="D23" s="14" t="str">
        <x:v>Local/Heritage</x:v>
      </x:c>
      <x:c r="E23" s="14" t="str">
        <x:v>Afyonkarahisar'da doğumdan sonra misafirlere ikram edilen sıra yemeklerine ne ad verilir?</x:v>
      </x:c>
      <x:c r="F23" s="14" t="str">
        <x:v>Takım</x:v>
      </x:c>
      <x:c r="G23" s="14" t="str">
        <x:v>takım</x:v>
      </x:c>
      <x:c r="H23" s="14" t="str">
        <x:v>https://www.kulturportali.gov.tr/turkiye/afyonkarahisar/kulturatlasi/sira-yemegi</x:v>
      </x:c>
      <x:c r="I23" s="14" t="str">
        <x:v>Kültür ve Turizm Bakanlığı Kültür Portalı</x:v>
      </x:c>
      <x:c r="J23" s="14" t="str">
        <x:v>L0</x:v>
      </x:c>
      <x:c r="K23" s="14" t="str">
        <x:v>low</x:v>
      </x:c>
      <x:c r="L23" s="14" t="str">
        <x:v>high</x:v>
      </x:c>
      <x:c r="M23" s="25" t="b">
        <x:v>0</x:v>
      </x:c>
      <x:c r="N23" s="14" t="str">
        <x:v>local_terminology</x:v>
      </x:c>
      <x:c r="O23" s="14" t="str">
        <x:v>frozen_dev_v0.2</x:v>
      </x:c>
      <x:c r="P23" s="14" t="str">
        <x:v>Yerel doğum yemeği terminolojisi. | FREEZE v0.2: Accepted after complete, concordant double review.</x:v>
      </x:c>
      <x:c r="Q23" s="26" t="str">
        <x:v>standard_double_review</x:v>
      </x:c>
      <x:c r="R23" s="26" t="str"/>
    </x:row>
    <x:row r="24" ht="43.5" customHeight="1">
      <x:c r="A24" s="14" t="str">
        <x:v>D021</x:v>
      </x:c>
      <x:c r="B24" s="14" t="str">
        <x:v>F117</x:v>
      </x:c>
      <x:c r="C24" s="14" t="str">
        <x:v>K6 — Culinary History, Heritage &amp; Cultural Context</x:v>
      </x:c>
      <x:c r="D24" s="14" t="str">
        <x:v>Local/Heritage</x:v>
      </x:c>
      <x:c r="E24" s="14" t="str">
        <x:v>Afyonkarahisar'da nişan töreninin ertesi günü yapılan geleneksel yemekli davetin adı nedir?</x:v>
      </x:c>
      <x:c r="F24" s="14" t="str">
        <x:v>Zinardı daveti</x:v>
      </x:c>
      <x:c r="G24" s="14" t="str">
        <x:v>zinardı daveti | zinardı | sini ardı daveti | sini ardı</x:v>
      </x:c>
      <x:c r="H24" s="14" t="str">
        <x:v>https://www.kulturportali.gov.tr/turkiye/afyonkarahisar/kulturatlasi/sira-yemegi</x:v>
      </x:c>
      <x:c r="I24" s="14" t="str">
        <x:v>Kültür ve Turizm Bakanlığı Kültür Portalı</x:v>
      </x:c>
      <x:c r="J24" s="14" t="str">
        <x:v>L0</x:v>
      </x:c>
      <x:c r="K24" s="14" t="str">
        <x:v>medium</x:v>
      </x:c>
      <x:c r="L24" s="14" t="str">
        <x:v>high</x:v>
      </x:c>
      <x:c r="M24" s="25" t="b">
        <x:v>0</x:v>
      </x:c>
      <x:c r="N24" s="14" t="str">
        <x:v>local_terminology</x:v>
      </x:c>
      <x:c r="O24" s="14" t="str">
        <x:v>frozen_dev_v0.2</x:v>
      </x:c>
      <x:c r="P24" s="14" t="str">
        <x:v>RESOLVED DURING VALIDATION: Zinardı/sini ardı yazım ve kısa yanıt varyantları onaylanmalı. | FREEZE v0.2: Clarity revision based on independent adjudicator note; answer forms remain unchanged.</x:v>
      </x:c>
      <x:c r="Q24" s="26" t="str">
        <x:v>enhanced_double_review</x:v>
      </x:c>
      <x:c r="R24" s="26" t="str">
        <x:v>Confirm zinardı / sini ardı spelling and short forms.</x:v>
      </x:c>
    </x:row>
    <x:row r="25" ht="43.5" customHeight="1">
      <x:c r="A25" s="14" t="str">
        <x:v>D022</x:v>
      </x:c>
      <x:c r="B25" s="14" t="str">
        <x:v>F118</x:v>
      </x:c>
      <x:c r="C25" s="14" t="str">
        <x:v>K5 — Culinary Terminology &amp; Traditional Practices</x:v>
      </x:c>
      <x:c r="D25" s="14" t="str">
        <x:v>Local/Technical</x:v>
      </x:c>
      <x:c r="E25" s="14" t="str">
        <x:v>Afyon mutfak kültüründe yer alan sıra yemeğinde, yemeklerin sofraya geliş sırasını düzenleme işine ne ad verilir?</x:v>
      </x:c>
      <x:c r="F25" s="14" t="str">
        <x:v>Yemek kurtarma</x:v>
      </x:c>
      <x:c r="G25" s="14" t="str">
        <x:v>yemek kurtarma</x:v>
      </x:c>
      <x:c r="H25" s="14" t="str">
        <x:v>https://www.kulturportali.gov.tr/turkiye/afyonkarahisar/kulturatlasi/sira-yemegi</x:v>
      </x:c>
      <x:c r="I25" s="14" t="str">
        <x:v>Kültür ve Turizm Bakanlığı Kültür Portalı</x:v>
      </x:c>
      <x:c r="J25" s="14" t="str">
        <x:v>L0</x:v>
      </x:c>
      <x:c r="K25" s="14" t="str">
        <x:v>low</x:v>
      </x:c>
      <x:c r="L25" s="14" t="str">
        <x:v>high</x:v>
      </x:c>
      <x:c r="M25" s="25" t="b">
        <x:v>0</x:v>
      </x:c>
      <x:c r="N25" s="14" t="str">
        <x:v>local_terminology</x:v>
      </x:c>
      <x:c r="O25" s="14" t="str">
        <x:v>frozen_dev_v0.2</x:v>
      </x:c>
      <x:c r="P25" s="14" t="str">
        <x:v>Yerel servis düzenleme terimi. | FREEZE v0.2: Contextual clarity revision based on independent adjudicator note.</x:v>
      </x:c>
      <x:c r="Q25" s="26" t="str">
        <x:v>standard_double_review</x:v>
      </x:c>
      <x:c r="R25" s="26" t="str"/>
    </x:row>
    <x:row r="26" ht="43.5" customHeight="1">
      <x:c r="A26" s="14" t="str">
        <x:v>D023</x:v>
      </x:c>
      <x:c r="B26" s="14" t="str">
        <x:v>F008</x:v>
      </x:c>
      <x:c r="C26" s="14" t="str">
        <x:v>K2 — Ingredients &amp; Composition</x:v>
      </x:c>
      <x:c r="D26" s="14" t="str">
        <x:v>Technical</x:v>
      </x:c>
      <x:c r="E26" s="14" t="str">
        <x:v>Kuru Antep Baklavasında raf ömrünü uzatmak amacıyla kullanılmayan bileşen nedir?</x:v>
      </x:c>
      <x:c r="F26" s="14" t="str">
        <x:v>Kaymak</x:v>
      </x:c>
      <x:c r="G26" s="14" t="str">
        <x:v>kaymak</x:v>
      </x:c>
      <x:c r="H26" s="14" t="str">
        <x:v>https://ci.turkpatent.gov.tr/Files/GeographicalSigns/0cbbdd44-8cae-4ef4-af94-b2889a94f28c.pdf</x:v>
      </x:c>
      <x:c r="I26" s="14" t="str">
        <x:v>TÜRKPATENT tescil belgesi</x:v>
      </x:c>
      <x:c r="J26" s="14" t="str">
        <x:v>L1</x:v>
      </x:c>
      <x:c r="K26" s="14" t="str">
        <x:v>low</x:v>
      </x:c>
      <x:c r="L26" s="14" t="str">
        <x:v>high</x:v>
      </x:c>
      <x:c r="M26" s="25" t="b">
        <x:v>0</x:v>
      </x:c>
      <x:c r="N26" s="14" t="str">
        <x:v>technical_culinary</x:v>
      </x:c>
      <x:c r="O26" s="14" t="str">
        <x:v>frozen_dev_v0.2</x:v>
      </x:c>
      <x:c r="P26" s="14" t="str">
        <x:v>L1: 'kuru' ürün türü bağlam sağlar. | FREEZE v0.2: Accepted after complete, concordant double review.</x:v>
      </x:c>
      <x:c r="Q26" s="26" t="str">
        <x:v>standard_double_review</x:v>
      </x:c>
      <x:c r="R26" s="26" t="str"/>
    </x:row>
    <x:row r="27" ht="43.5" customHeight="1">
      <x:c r="A27" s="14" t="str">
        <x:v>D024</x:v>
      </x:c>
      <x:c r="B27" s="14" t="str">
        <x:v>F016</x:v>
      </x:c>
      <x:c r="C27" s="14" t="str">
        <x:v>K3 — Preparation &amp; Cooking Techniques</x:v>
      </x:c>
      <x:c r="D27" s="14" t="str">
        <x:v>Technical</x:v>
      </x:c>
      <x:c r="E27" s="14" t="str">
        <x:v>Maraş Tarhanası üretiminde yoğurt, dövmeye hangi aşamada eklenir?</x:v>
      </x:c>
      <x:c r="F27" s="14" t="str">
        <x:v>Pişirme ve soğutma sonrasında</x:v>
      </x:c>
      <x:c r="G27" s="14" t="str">
        <x:v>pişirme ve soğutma sonrasında | pişirmeden ve soğutmadan sonra | dövme pişirilip soğutulduktan sonra | pişmiş dövme soğutulduktan sonra</x:v>
      </x:c>
      <x:c r="H27" s="14" t="str">
        <x:v>https://ci.turkpatent.gov.tr/Files/GeographicalSigns/8c3d053b-bb27-4305-a46f-398c181d189e.pdf</x:v>
      </x:c>
      <x:c r="I27" s="14" t="str">
        <x:v>TÜRKPATENT tescil belgesi</x:v>
      </x:c>
      <x:c r="J27" s="14" t="str">
        <x:v>L0</x:v>
      </x:c>
      <x:c r="K27" s="14" t="str">
        <x:v>medium</x:v>
      </x:c>
      <x:c r="L27" s="14" t="str">
        <x:v>high</x:v>
      </x:c>
      <x:c r="M27" s="25" t="b">
        <x:v>0</x:v>
      </x:c>
      <x:c r="N27" s="14" t="str">
        <x:v>technical_culinary</x:v>
      </x:c>
      <x:c r="O27" s="14" t="str">
        <x:v>frozen_dev_v0.2</x:v>
      </x:c>
      <x:c r="P27" s="14" t="str">
        <x:v>RESOLVED DURING VALIDATION: 60 °C'ye kadar soğutma ayrıntısının zorunluluğu belirlenmeli. | FREEZE v0.2: Accepted after complete, concordant double review.</x:v>
      </x:c>
      <x:c r="Q27" s="26" t="str">
        <x:v>enhanced_double_review</x:v>
      </x:c>
      <x:c r="R27" s="26" t="str">
        <x:v>Determine whether the cooling-to-60 °C detail is mandatory.</x:v>
      </x:c>
    </x:row>
    <x:row r="28" ht="43.5" customHeight="1">
      <x:c r="A28" s="14" t="str">
        <x:v>D025</x:v>
      </x:c>
      <x:c r="B28" s="14" t="str">
        <x:v>F018</x:v>
      </x:c>
      <x:c r="C28" s="14" t="str">
        <x:v>K3 — Preparation &amp; Cooking Techniques</x:v>
      </x:c>
      <x:c r="D28" s="14" t="str">
        <x:v>Technical</x:v>
      </x:c>
      <x:c r="E28" s="14" t="str">
        <x:v>Afyon Sucuğu hamuru hangi tür bağırsağa doldurulur?</x:v>
      </x:c>
      <x:c r="F28" s="14" t="str">
        <x:v>Sığır bağırsağı</x:v>
      </x:c>
      <x:c r="G28" s="14" t="str">
        <x:v>sığır bağırsağı | sığır bağırsağına</x:v>
      </x:c>
      <x:c r="H28" s="14" t="str">
        <x:v>https://ci.turkpatent.gov.tr/Files/GeographicalSigns/11b3bb14-c7b9-4447-89c6-e0858d9f2688.pdf</x:v>
      </x:c>
      <x:c r="I28" s="14" t="str">
        <x:v>TÜRKPATENT tescil belgesi</x:v>
      </x:c>
      <x:c r="J28" s="14" t="str">
        <x:v>L0</x:v>
      </x:c>
      <x:c r="K28" s="14" t="str">
        <x:v>low</x:v>
      </x:c>
      <x:c r="L28" s="14" t="str">
        <x:v>high</x:v>
      </x:c>
      <x:c r="M28" s="25" t="b">
        <x:v>0</x:v>
      </x:c>
      <x:c r="N28" s="14" t="str">
        <x:v>technical_culinary</x:v>
      </x:c>
      <x:c r="O28" s="14" t="str">
        <x:v>frozen_dev_v0.2</x:v>
      </x:c>
      <x:c r="P28" s="14" t="str">
        <x:v>Dolum malzemesi. | FREEZE v0.2: Accepted after complete, concordant double review.</x:v>
      </x:c>
      <x:c r="Q28" s="26" t="str">
        <x:v>standard_double_review</x:v>
      </x:c>
      <x:c r="R28" s="26" t="str"/>
    </x:row>
    <x:row r="29" ht="43.5" customHeight="1">
      <x:c r="A29" s="14" t="str">
        <x:v>D026</x:v>
      </x:c>
      <x:c r="B29" s="14" t="str">
        <x:v>F052</x:v>
      </x:c>
      <x:c r="C29" s="14" t="str">
        <x:v>K3 — Preparation &amp; Cooking Techniques</x:v>
      </x:c>
      <x:c r="D29" s="14" t="str">
        <x:v>Local/Technical</x:v>
      </x:c>
      <x:c r="E29" s="14" t="str">
        <x:v>Malatya Kâğıt Kebabının taş fırını geleneksel olarak hangi odunla ısıtılır?</x:v>
      </x:c>
      <x:c r="F29" s="14" t="str">
        <x:v>Meşe odunu</x:v>
      </x:c>
      <x:c r="G29" s="14" t="str">
        <x:v>meşe odunu | meşe</x:v>
      </x:c>
      <x:c r="H29" s="14" t="str">
        <x:v>https://ci.turkpatent.gov.tr/Files/GeographicalSigns/024913eb-9b44-4d6b-8a23-d1a173884fd5.pdf</x:v>
      </x:c>
      <x:c r="I29" s="14" t="str">
        <x:v>TÜRKPATENT tescil belgesi</x:v>
      </x:c>
      <x:c r="J29" s="14" t="str">
        <x:v>L0</x:v>
      </x:c>
      <x:c r="K29" s="14" t="str">
        <x:v>low</x:v>
      </x:c>
      <x:c r="L29" s="14" t="str">
        <x:v>high</x:v>
      </x:c>
      <x:c r="M29" s="25" t="b">
        <x:v>0</x:v>
      </x:c>
      <x:c r="N29" s="14" t="str">
        <x:v>technical_culinary</x:v>
      </x:c>
      <x:c r="O29" s="14" t="str">
        <x:v>frozen_dev_v0.2</x:v>
      </x:c>
      <x:c r="P29" s="14" t="str">
        <x:v>Yakıt türü. | FREEZE v0.2: Accepted after complete, concordant double review.</x:v>
      </x:c>
      <x:c r="Q29" s="26" t="str">
        <x:v>standard_double_review</x:v>
      </x:c>
      <x:c r="R29" s="26" t="str"/>
    </x:row>
    <x:row r="30" ht="43.5" customHeight="1">
      <x:c r="A30" s="14" t="str">
        <x:v>D027</x:v>
      </x:c>
      <x:c r="B30" s="14" t="str">
        <x:v>F062</x:v>
      </x:c>
      <x:c r="C30" s="14" t="str">
        <x:v>K3 — Preparation &amp; Cooking Techniques</x:v>
      </x:c>
      <x:c r="D30" s="14" t="str">
        <x:v>Local/Technical</x:v>
      </x:c>
      <x:c r="E30" s="14" t="str">
        <x:v>Ordu Tostu için üretilen özel ekmek geleneksel olarak hangi yakıtla pişirilir?</x:v>
      </x:c>
      <x:c r="F30" s="14" t="str">
        <x:v>Fındık kabuğu</x:v>
      </x:c>
      <x:c r="G30" s="14" t="str">
        <x:v>fındık kabuğu | fındık kabuğu ateşi | fındık kabuğu ateşinde</x:v>
      </x:c>
      <x:c r="H30" s="14" t="str">
        <x:v>https://ci.turkpatent.gov.tr/Files/GeographicalSigns/3612f8b8-12ff-4c4d-bc58-896f37cec09b.pdf</x:v>
      </x:c>
      <x:c r="I30" s="14" t="str">
        <x:v>TÜRKPATENT tescil belgesi</x:v>
      </x:c>
      <x:c r="J30" s="14" t="str">
        <x:v>L0</x:v>
      </x:c>
      <x:c r="K30" s="14" t="str">
        <x:v>low</x:v>
      </x:c>
      <x:c r="L30" s="14" t="str">
        <x:v>high</x:v>
      </x:c>
      <x:c r="M30" s="25" t="b">
        <x:v>0</x:v>
      </x:c>
      <x:c r="N30" s="14" t="str">
        <x:v>technical_culinary</x:v>
      </x:c>
      <x:c r="O30" s="14" t="str">
        <x:v>frozen_dev_v0.2</x:v>
      </x:c>
      <x:c r="P30" s="14" t="str">
        <x:v>Özel ekmeğin pişirme yakıtı. | FREEZE v0.2: Accepted after complete, concordant double review.</x:v>
      </x:c>
      <x:c r="Q30" s="26" t="str">
        <x:v>standard_double_review</x:v>
      </x:c>
      <x:c r="R30" s="26" t="str"/>
    </x:row>
    <x:row r="31" ht="43.5" customHeight="1">
      <x:c r="A31" s="14" t="str">
        <x:v>D028</x:v>
      </x:c>
      <x:c r="B31" s="14" t="str">
        <x:v>F109</x:v>
      </x:c>
      <x:c r="C31" s="14" t="str">
        <x:v>K3 — Preparation &amp; Cooking Techniques</x:v>
      </x:c>
      <x:c r="D31" s="14" t="str">
        <x:v>Local/Technical</x:v>
      </x:c>
      <x:c r="E31" s="14" t="str">
        <x:v>Tekirdağ Bulamasında köpük oluşturmak amacıyla kullanılan geleneksel bitkisel bileşen nedir?</x:v>
      </x:c>
      <x:c r="F31" s="14" t="str">
        <x:v>Çöven</x:v>
      </x:c>
      <x:c r="G31" s="14" t="str">
        <x:v>çöven | çöğen</x:v>
      </x:c>
      <x:c r="H31" s="14" t="str">
        <x:v>https://www.kulturportali.gov.tr/turkiye/tekirdag/neyenir/bulama</x:v>
      </x:c>
      <x:c r="I31" s="14" t="str">
        <x:v>Kültür ve Turizm Bakanlığı Kültür Portalı</x:v>
      </x:c>
      <x:c r="J31" s="14" t="str">
        <x:v>L0</x:v>
      </x:c>
      <x:c r="K31" s="14" t="str">
        <x:v>medium</x:v>
      </x:c>
      <x:c r="L31" s="14" t="str">
        <x:v>high</x:v>
      </x:c>
      <x:c r="M31" s="25" t="b">
        <x:v>0</x:v>
      </x:c>
      <x:c r="N31" s="14" t="str">
        <x:v>technical_culinary</x:v>
      </x:c>
      <x:c r="O31" s="14" t="str">
        <x:v>frozen_dev_v0.2</x:v>
      </x:c>
      <x:c r="P31" s="14" t="str">
        <x:v>RESOLVED DURING VALIDATION: Çöven/çöğen yazım varyantlarının eşdeğerliği doğrulanmalı. | FREEZE v0.2: Accepted after complete, concordant double review.</x:v>
      </x:c>
      <x:c r="Q31" s="26" t="str">
        <x:v>enhanced_double_review</x:v>
      </x:c>
      <x:c r="R31" s="26" t="str">
        <x:v>Verify equivalence of çöven / çöğen.</x:v>
      </x:c>
    </x:row>
    <x:row r="32" ht="43.5" customHeight="1">
      <x:c r="A32" s="14" t="str">
        <x:v>D029</x:v>
      </x:c>
      <x:c r="B32" s="14" t="str">
        <x:v>F027</x:v>
      </x:c>
      <x:c r="C32" s="14" t="str">
        <x:v>K5 — Culinary Terminology &amp; Traditional Practices</x:v>
      </x:c>
      <x:c r="D32" s="14" t="str">
        <x:v>General/Heritage</x:v>
      </x:c>
      <x:c r="E32" s="14" t="str">
        <x:v>Türk kahvesi içildikten sonra fincanda kalan telve geleneksel olarak hangi uygulamada kullanılır?</x:v>
      </x:c>
      <x:c r="F32" s="14" t="str">
        <x:v>Fal bakmak</x:v>
      </x:c>
      <x:c r="G32" s="14" t="str">
        <x:v>fal bakmak | kahve falı | kahve falı bakmak | falcılık</x:v>
      </x:c>
      <x:c r="H32" s="14" t="str">
        <x:v>https://ich.unesco.org/en/RL/turkish-coffee-culture-and-tradition-00645</x:v>
      </x:c>
      <x:c r="I32" s="14" t="str">
        <x:v>UNESCO ICH kaydı</x:v>
      </x:c>
      <x:c r="J32" s="14" t="str">
        <x:v>L0</x:v>
      </x:c>
      <x:c r="K32" s="14" t="str">
        <x:v>low</x:v>
      </x:c>
      <x:c r="L32" s="14" t="str">
        <x:v>high</x:v>
      </x:c>
      <x:c r="M32" s="25" t="b">
        <x:v>0</x:v>
      </x:c>
      <x:c r="N32" s="14" t="str">
        <x:v>cultural_heritage</x:v>
      </x:c>
      <x:c r="O32" s="14" t="str">
        <x:v>frozen_dev_v0.2</x:v>
      </x:c>
      <x:c r="P32" s="14" t="str">
        <x:v>UNESCO kaydındaki sosyal uygulama. | FREEZE v0.2: Accepted after complete, concordant double review.</x:v>
      </x:c>
      <x:c r="Q32" s="26" t="str">
        <x:v>standard_double_review</x:v>
      </x:c>
      <x:c r="R32" s="26" t="str"/>
    </x:row>
    <x:row r="33" ht="43.5" customHeight="1">
      <x:c r="A33" s="14" t="str">
        <x:v>D030</x:v>
      </x:c>
      <x:c r="B33" s="14" t="str">
        <x:v>F036</x:v>
      </x:c>
      <x:c r="C33" s="14" t="str">
        <x:v>K6 — Culinary History, Heritage &amp; Cultural Context</x:v>
      </x:c>
      <x:c r="D33" s="14" t="str">
        <x:v>General/Heritage</x:v>
      </x:c>
      <x:c r="E33" s="14" t="str">
        <x:v>Türkiye ile birlikte Çay Kültürü unsurunu UNESCO'ya ortak kaydettiren ülke hangisidir?</x:v>
      </x:c>
      <x:c r="F33" s="14" t="str">
        <x:v>Azerbaycan</x:v>
      </x:c>
      <x:c r="G33" s="14" t="str">
        <x:v>azerbaycan | azerbaijan</x:v>
      </x:c>
      <x:c r="H33" s="14" t="str">
        <x:v>https://ich.unesco.org/en/RL/culture-of-cay-tea-a-symbol-of-identity-hospitality-and-social-interaction-01685</x:v>
      </x:c>
      <x:c r="I33" s="14" t="str">
        <x:v>UNESCO ICH kaydı</x:v>
      </x:c>
      <x:c r="J33" s="14" t="str">
        <x:v>L0</x:v>
      </x:c>
      <x:c r="K33" s="14" t="str">
        <x:v>low</x:v>
      </x:c>
      <x:c r="L33" s="14" t="str">
        <x:v>high</x:v>
      </x:c>
      <x:c r="M33" s="25" t="b">
        <x:v>0</x:v>
      </x:c>
      <x:c r="N33" s="14" t="str">
        <x:v>cultural_heritage</x:v>
      </x:c>
      <x:c r="O33" s="14" t="str">
        <x:v>frozen_dev_v0.2</x:v>
      </x:c>
      <x:c r="P33" s="14" t="str">
        <x:v>Ortak UNESCO kaydındaki diğer ülke. | FREEZE v0.2: Accepted after complete, concordant double review.</x:v>
      </x:c>
      <x:c r="Q33" s="26" t="str">
        <x:v>standard_double_review</x:v>
      </x:c>
      <x:c r="R33" s="26" t="str"/>
    </x:row>
    <x:row r="34" ht="43.5" customHeight="1">
      <x:c r="A34" s="14" t="str">
        <x:v>D031</x:v>
      </x:c>
      <x:c r="B34" s="14" t="str">
        <x:v>F084</x:v>
      </x:c>
      <x:c r="C34" s="14" t="str">
        <x:v>K6 — Culinary History, Heritage &amp; Cultural Context</x:v>
      </x:c>
      <x:c r="D34" s="14" t="str">
        <x:v>General/Heritage</x:v>
      </x:c>
      <x:c r="E34" s="14" t="str">
        <x:v>Geleneksel yassı ekmek yapımı aile dışında hangi öğrenme ilişkisiyle aktarılır?</x:v>
      </x:c>
      <x:c r="F34" s="14" t="str">
        <x:v>Usta-çırak</x:v>
      </x:c>
      <x:c r="G34" s="14" t="str">
        <x:v>usta-çırak | usta çırak | ustadan çırağa | usta-çırak ilişkisi</x:v>
      </x:c>
      <x:c r="H34" s="14" t="str">
        <x:v>https://ich.unesco.org/en/RL/flatbread-making-and-sharing-culture-lavash-katyrma-jupka-yufka-01181</x:v>
      </x:c>
      <x:c r="I34" s="14" t="str">
        <x:v>UNESCO ICH kaydı</x:v>
      </x:c>
      <x:c r="J34" s="14" t="str">
        <x:v>L0</x:v>
      </x:c>
      <x:c r="K34" s="14" t="str">
        <x:v>low</x:v>
      </x:c>
      <x:c r="L34" s="14" t="str">
        <x:v>high</x:v>
      </x:c>
      <x:c r="M34" s="25" t="b">
        <x:v>0</x:v>
      </x:c>
      <x:c r="N34" s="14" t="str">
        <x:v>cultural_heritage</x:v>
      </x:c>
      <x:c r="O34" s="14" t="str">
        <x:v>frozen_dev_v0.2</x:v>
      </x:c>
      <x:c r="P34" s="14" t="str">
        <x:v>UNESCO aktarım biçimi. | FREEZE v0.2: Accepted after complete, concordant double review.</x:v>
      </x:c>
      <x:c r="Q34" s="26" t="str">
        <x:v>standard_double_review</x:v>
      </x:c>
      <x:c r="R34" s="26" t="str"/>
    </x:row>
    <x:row r="35" ht="43.5" customHeight="1">
      <x:c r="A35" s="14" t="str">
        <x:v>D032</x:v>
      </x:c>
      <x:c r="B35" s="14" t="str">
        <x:v>F085</x:v>
      </x:c>
      <x:c r="C35" s="14" t="str">
        <x:v>K6 — Culinary History, Heritage &amp; Cultural Context</x:v>
      </x:c>
      <x:c r="D35" s="14" t="str">
        <x:v>Local/Heritage</x:v>
      </x:c>
      <x:c r="E35" s="14" t="str">
        <x:v>Törensel Keşkek geleneğinde buğday, törenden önceki gün hangi uygulama eşliğinde yıkanır?</x:v>
      </x:c>
      <x:c r="F35" s="14" t="str">
        <x:v>Dua</x:v>
      </x:c>
      <x:c r="G35" s="14" t="str">
        <x:v>dua | dualar | dua ederek | dualarla</x:v>
      </x:c>
      <x:c r="H35" s="14" t="str">
        <x:v>https://ich.unesco.org/en/RL/ceremonial-keskek-tradition-00388</x:v>
      </x:c>
      <x:c r="I35" s="14" t="str">
        <x:v>UNESCO ICH kaydı</x:v>
      </x:c>
      <x:c r="J35" s="14" t="str">
        <x:v>L0</x:v>
      </x:c>
      <x:c r="K35" s="14" t="str">
        <x:v>low</x:v>
      </x:c>
      <x:c r="L35" s="14" t="str">
        <x:v>high</x:v>
      </x:c>
      <x:c r="M35" s="25" t="b">
        <x:v>0</x:v>
      </x:c>
      <x:c r="N35" s="14" t="str">
        <x:v>cultural_heritage</x:v>
      </x:c>
      <x:c r="O35" s="14" t="str">
        <x:v>frozen_dev_v0.2</x:v>
      </x:c>
      <x:c r="P35" s="14" t="str">
        <x:v>Törensel hazırlık uygulaması. | FREEZE v0.2: Accepted after complete, concordant double review.</x:v>
      </x:c>
      <x:c r="Q35" s="26" t="str">
        <x:v>standard_double_review</x:v>
      </x:c>
      <x:c r="R35" s="26" t="str"/>
    </x:row>
    <x:row r="36" ht="43.5" customHeight="1">
      <x:c r="A36" s="14" t="str">
        <x:v>D033</x:v>
      </x:c>
      <x:c r="B36" s="14" t="str">
        <x:v>F096</x:v>
      </x:c>
      <x:c r="C36" s="14" t="str">
        <x:v>K6 — Culinary History, Heritage &amp; Cultural Context</x:v>
      </x:c>
      <x:c r="D36" s="14" t="str">
        <x:v>Local/Heritage</x:v>
      </x:c>
      <x:c r="E36" s="14" t="str">
        <x:v>Mesir Macunu Festivali tarihsel olarak kimin iyileşmesini anar?</x:v>
      </x:c>
      <x:c r="F36" s="14" t="str">
        <x:v>Hafsa Sultan</x:v>
      </x:c>
      <x:c r="G36" s="14" t="str">
        <x:v>hafsa sultan | ayşe hafsa sultan</x:v>
      </x:c>
      <x:c r="H36" s="14" t="str">
        <x:v>https://ich.unesco.org/en/RL/mesir-macunu-festival-00642</x:v>
      </x:c>
      <x:c r="I36" s="14" t="str">
        <x:v>UNESCO ICH kaydı</x:v>
      </x:c>
      <x:c r="J36" s="14" t="str">
        <x:v>L0</x:v>
      </x:c>
      <x:c r="K36" s="14" t="str">
        <x:v>low</x:v>
      </x:c>
      <x:c r="L36" s="14" t="str">
        <x:v>high</x:v>
      </x:c>
      <x:c r="M36" s="25" t="b">
        <x:v>0</x:v>
      </x:c>
      <x:c r="N36" s="14" t="str">
        <x:v>cultural_heritage</x:v>
      </x:c>
      <x:c r="O36" s="14" t="str">
        <x:v>frozen_dev_v0.2</x:v>
      </x:c>
      <x:c r="P36" s="14" t="str">
        <x:v>Festivalin tarihsel anlatısındaki kişi. | FREEZE v0.2: Accepted after complete, concordant double review.</x:v>
      </x:c>
      <x:c r="Q36" s="26" t="str">
        <x:v>standard_double_review</x:v>
      </x:c>
      <x:c r="R36" s="26" t="str"/>
    </x:row>
    <x:row r="37" ht="43.5" customHeight="1">
      <x:c r="A37" s="14" t="str">
        <x:v>D034</x:v>
      </x:c>
      <x:c r="B37" s="14" t="str">
        <x:v>F101</x:v>
      </x:c>
      <x:c r="C37" s="14" t="str">
        <x:v>K6 — Culinary History, Heritage &amp; Cultural Context</x:v>
      </x:c>
      <x:c r="D37" s="14" t="str">
        <x:v>General/Heritage</x:v>
      </x:c>
      <x:c r="E37" s="14" t="str">
        <x:v>Türkiye'de güllaç geleneksel olarak hangi ayla özdeşleşir?</x:v>
      </x:c>
      <x:c r="F37" s="14" t="str">
        <x:v>Ramazan</x:v>
      </x:c>
      <x:c r="G37" s="14" t="str">
        <x:v>ramazan | ramazan ayı</x:v>
      </x:c>
      <x:c r="H37" s="14" t="str">
        <x:v>https://kulturportali.gov.tr/portal/geleneksel-lezzetler--7-ozel-gun-yemegi</x:v>
      </x:c>
      <x:c r="I37" s="14" t="str">
        <x:v>Kültür ve Turizm Bakanlığı Kültür Portalı</x:v>
      </x:c>
      <x:c r="J37" s="14" t="str">
        <x:v>L0</x:v>
      </x:c>
      <x:c r="K37" s="14" t="str">
        <x:v>low</x:v>
      </x:c>
      <x:c r="L37" s="14" t="str">
        <x:v>high</x:v>
      </x:c>
      <x:c r="M37" s="25" t="b">
        <x:v>0</x:v>
      </x:c>
      <x:c r="N37" s="14" t="str">
        <x:v>cultural_heritage</x:v>
      </x:c>
      <x:c r="O37" s="14" t="str">
        <x:v>frozen_dev_v0.2</x:v>
      </x:c>
      <x:c r="P37" s="14" t="str">
        <x:v>Kültür Portalındaki özel gün bağlamı. | FREEZE v0.2: Removed the broader 'dönem' alternative so the response type is unambiguously a month.</x:v>
      </x:c>
      <x:c r="Q37" s="26" t="str">
        <x:v>standard_double_review</x:v>
      </x:c>
      <x:c r="R37" s="26" t="str"/>
    </x:row>
    <x:row r="38" ht="43.5" customHeight="1">
      <x:c r="A38" s="14" t="str">
        <x:v>D035</x:v>
      </x:c>
      <x:c r="B38" s="14" t="str">
        <x:v>F010</x:v>
      </x:c>
      <x:c r="C38" s="14" t="str">
        <x:v>K4 — Geographical Indications &amp; Product Specifications</x:v>
      </x:c>
      <x:c r="D38" s="14" t="str">
        <x:v>Technical</x:v>
      </x:c>
      <x:c r="E38" s="14" t="str">
        <x:v>Afyon Sucuğunda manda etinin asgari oranı yüzde kaçtır?</x:v>
      </x:c>
      <x:c r="F38" s="14" t="str">
        <x:v>En az %15</x:v>
      </x:c>
      <x:c r="G38" s="14" t="str">
        <x:v>15 | %15 | yüzde 15 | en az %15 | en az yüzde 15</x:v>
      </x:c>
      <x:c r="H38" s="14" t="str">
        <x:v>https://ci.turkpatent.gov.tr/Files/GeographicalSigns/8eb202f7-bf82-48cd-9f21-955bc921c665.pdf</x:v>
      </x:c>
      <x:c r="I38" s="14" t="str">
        <x:v>TÜRKPATENT tescil belgesi</x:v>
      </x:c>
      <x:c r="J38" s="14" t="str">
        <x:v>L1</x:v>
      </x:c>
      <x:c r="K38" s="14" t="str">
        <x:v>low</x:v>
      </x:c>
      <x:c r="L38" s="14" t="str">
        <x:v>high</x:v>
      </x:c>
      <x:c r="M38" s="25" t="b">
        <x:v>1</x:v>
      </x:c>
      <x:c r="N38" s="14" t="str">
        <x:v>numeric_answer</x:v>
      </x:c>
      <x:c r="O38" s="14" t="str">
        <x:v>frozen_dev_v0.2</x:v>
      </x:c>
      <x:c r="P38" s="14" t="str">
        <x:v>L1: yüzde biçimi verilir; değer sızmaz. | FREEZE v0.2: Accepted after complete, concordant double review.</x:v>
      </x:c>
      <x:c r="Q38" s="26" t="str">
        <x:v>standard_double_review</x:v>
      </x:c>
      <x:c r="R38" s="26" t="str"/>
    </x:row>
    <x:row r="39" ht="43.5" customHeight="1">
      <x:c r="A39" s="14" t="str">
        <x:v>D036</x:v>
      </x:c>
      <x:c r="B39" s="14" t="str">
        <x:v>F088</x:v>
      </x:c>
      <x:c r="C39" s="14" t="str">
        <x:v>K3 — Preparation &amp; Cooking Techniques</x:v>
      </x:c>
      <x:c r="D39" s="14" t="str">
        <x:v>Local/Heritage</x:v>
      </x:c>
      <x:c r="E39" s="14" t="str">
        <x:v>Törensel Keşkek hazırlığında buğday taş havanda kaç kişi tarafından dövülür?</x:v>
      </x:c>
      <x:c r="F39" s="14" t="str">
        <x:v>2–4 kişi</x:v>
      </x:c>
      <x:c r="G39" s="14" t="str">
        <x:v>2-4 | 2–4 | 2 ila 4 | iki ila dört | iki-dört kişi</x:v>
      </x:c>
      <x:c r="H39" s="14" t="str">
        <x:v>https://ich.unesco.org/en/RL/ceremonial-keskek-tradition-00388</x:v>
      </x:c>
      <x:c r="I39" s="14" t="str">
        <x:v>UNESCO ICH kaydı</x:v>
      </x:c>
      <x:c r="J39" s="14" t="str">
        <x:v>L0</x:v>
      </x:c>
      <x:c r="K39" s="14" t="str">
        <x:v>medium</x:v>
      </x:c>
      <x:c r="L39" s="14" t="str">
        <x:v>high</x:v>
      </x:c>
      <x:c r="M39" s="25" t="b">
        <x:v>1</x:v>
      </x:c>
      <x:c r="N39" s="14" t="str">
        <x:v>numeric_answer</x:v>
      </x:c>
      <x:c r="O39" s="14" t="str">
        <x:v>frozen_dev_v0.2</x:v>
      </x:c>
      <x:c r="P39" s="14" t="str">
        <x:v>RESOLVED DURING VALIDATION: Parser sayısal aralığı tek değer değil aralık olarak değerlendirmeli. | FREEZE v0.2: Accepted after complete, concordant double review.</x:v>
      </x:c>
      <x:c r="Q39" s="26" t="str">
        <x:v>enhanced_double_review</x:v>
      </x:c>
      <x:c r="R39" s="26" t="str">
        <x:v>Confirm two-endpoint numeric-range scoring.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3d1008b82c724e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9.75" hidden="0" customWidth="1"/>
    <x:col min="3" max="3" width="25.6299991607666" hidden="0" customWidth="1"/>
    <x:col min="4" max="4" width="13.75" hidden="0" customWidth="1"/>
    <x:col min="5" max="5" width="38.75" hidden="0" customWidth="1"/>
    <x:col min="6" max="6" width="18.1299991607666" hidden="0" customWidth="1"/>
    <x:col min="7" max="7" width="34.380001068115234" hidden="0" customWidth="1"/>
    <x:col min="8" max="8" width="34.380001068115234" hidden="0" customWidth="1"/>
    <x:col min="9" max="9" width="10.630000114440918" hidden="0" customWidth="1"/>
    <x:col min="10" max="10" width="11.25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5.630000114440918" hidden="0" customWidth="1"/>
    <x:col min="16" max="16" width="15" hidden="0" customWidth="1"/>
    <x:col min="17" max="17" width="35" hidden="0" customWidth="1"/>
    <x:col min="18" max="18" width="18.75" hidden="0" customWidth="1"/>
    <x:col min="19" max="19" width="34.380001068115234" hidden="0" customWidth="1"/>
    <x:col min="20" max="20" width="37.5" hidden="0" customWidth="1"/>
  </x:cols>
  <x:sheetData>
    <x:row r="1" ht="28.5" customHeight="1">
      <x:c r="A1" s="3" t="str">
        <x:v>TurkCuisineBench-Dev — Reviewer A</x:v>
      </x:c>
      <x:c r="B1" s="3" t="str">
        <x:v>TurkCuisineBench-Dev — Reviewer A</x:v>
      </x:c>
      <x:c r="C1" s="3" t="str">
        <x:v>TurkCuisineBench-Dev — Reviewer A</x:v>
      </x:c>
      <x:c r="D1" s="3" t="str">
        <x:v>TurkCuisineBench-Dev — Reviewer A</x:v>
      </x:c>
      <x:c r="E1" s="3" t="str">
        <x:v>TurkCuisineBench-Dev — Reviewer A</x:v>
      </x:c>
      <x:c r="F1" s="3" t="str">
        <x:v>TurkCuisineBench-Dev — Reviewer A</x:v>
      </x:c>
      <x:c r="G1" s="3" t="str">
        <x:v>TurkCuisineBench-Dev — Reviewer A</x:v>
      </x:c>
      <x:c r="H1" s="3" t="str">
        <x:v>TurkCuisineBench-Dev — Reviewer A</x:v>
      </x:c>
      <x:c r="I1" s="3" t="str">
        <x:v>TurkCuisineBench-Dev — Reviewer A</x:v>
      </x:c>
      <x:c r="J1" s="3" t="str">
        <x:v>TurkCuisineBench-Dev — Reviewer A</x:v>
      </x:c>
      <x:c r="K1" s="3" t="str">
        <x:v>TurkCuisineBench-Dev — Reviewer A</x:v>
      </x:c>
      <x:c r="L1" s="3" t="str">
        <x:v>TurkCuisineBench-Dev — Reviewer A</x:v>
      </x:c>
      <x:c r="M1" s="3" t="str">
        <x:v>TurkCuisineBench-Dev — Reviewer A</x:v>
      </x:c>
      <x:c r="N1" s="3" t="str">
        <x:v>TurkCuisineBench-Dev — Reviewer A</x:v>
      </x:c>
      <x:c r="O1" s="3" t="str">
        <x:v>TurkCuisineBench-Dev — Reviewer A</x:v>
      </x:c>
      <x:c r="P1" s="3" t="str">
        <x:v>TurkCuisineBench-Dev — Reviewer A</x:v>
      </x:c>
      <x:c r="Q1" s="3" t="str">
        <x:v>TurkCuisineBench-Dev — Reviewer A</x:v>
      </x:c>
      <x:c r="R1" s="3" t="str">
        <x:v>TurkCuisineBench-Dev — Reviewer A</x:v>
      </x:c>
      <x:c r="S1" s="3" t="str">
        <x:v>TurkCuisineBench-Dev — Reviewer A</x:v>
      </x:c>
      <x:c r="T1" s="3" t="str">
        <x:v>TurkCuisineBench-Dev — Reviewer A</x:v>
      </x:c>
    </x:row>
    <x:row r="2">
      <x:c r="A2" s="5" t="str">
        <x:v>reviewer_code</x:v>
      </x:c>
      <x:c r="B2" t="n">
        <x:v>1</x:v>
      </x:c>
      <x:c r="C2" s="5" t="str">
        <x:v>review_date</x:v>
      </x:c>
      <x:c r="D2" t="str">
        <x:v>24.08.2026</x:v>
      </x:c>
      <x:c r="E2" s="5" t="str">
        <x:v>review_version</x:v>
      </x:c>
      <x:c r="F2" t="str">
        <x:v>v0.2</x:v>
      </x:c>
    </x:row>
    <x:row r="3">
      <x:c r="A3" s="5" t="str">
        <x:v>instruction</x:v>
      </x:c>
      <x:c r="B3" t="str">
        <x:v>Open each official source and complete all decision fields independently.</x:v>
      </x:c>
      <x:c r="C3" s="5" t="str">
        <x:v>blind_to_other_reviewer</x:v>
      </x:c>
      <x:c r="D3" t="str">
        <x:v>yes</x:v>
      </x:c>
      <x:c r="E3" s="5" t="str">
        <x:v>item_count</x:v>
      </x:c>
      <x:c r="F3" t="n">
        <x:v>36</x:v>
      </x:c>
    </x:row>
    <x:row r="5" ht="39" customHeight="1">
      <x:c r="A5" s="22" t="str">
        <x:v>item_id</x:v>
      </x:c>
      <x:c r="B5" s="22" t="str">
        <x:v>source_fact_id</x:v>
      </x:c>
      <x:c r="C5" s="22" t="str">
        <x:v>knowledge_domain</x:v>
      </x:c>
      <x:c r="D5" s="22" t="str">
        <x:v>knowledge_specificity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source_url</x:v>
      </x:c>
      <x:c r="I5" s="22" t="str">
        <x:v>lexical_leakage</x:v>
      </x:c>
      <x:c r="J5" s="22" t="str">
        <x:v>ambiguity_risk</x:v>
      </x:c>
      <x:c r="K5" s="22" t="str">
        <x:v>review_route</x:v>
      </x:c>
      <x:c r="L5" s="22" t="str">
        <x:v>source_support</x:v>
      </x:c>
      <x:c r="M5" s="22" t="str">
        <x:v>question_clarity</x:v>
      </x:c>
      <x:c r="N5" s="22" t="str">
        <x:v>gold_correctness</x:v>
      </x:c>
      <x:c r="O5" s="22" t="str">
        <x:v>accepted_completeness</x:v>
      </x:c>
      <x:c r="P5" s="22" t="str">
        <x:v>recommended_action</x:v>
      </x:c>
      <x:c r="Q5" s="22" t="str">
        <x:v>proposed_question</x:v>
      </x:c>
      <x:c r="R5" s="22" t="str">
        <x:v>proposed_gold</x:v>
      </x:c>
      <x:c r="S5" s="22" t="str">
        <x:v>proposed_accepted_answers</x:v>
      </x:c>
      <x:c r="T5" s="22" t="str">
        <x:v>reviewer_comments</x:v>
      </x:c>
    </x:row>
    <x:row r="6" ht="48" customHeight="1">
      <x:c r="A6" s="14" t="str">
        <x:v>D001</x:v>
      </x:c>
      <x:c r="B6" s="14" t="str">
        <x:v>F014</x:v>
      </x:c>
      <x:c r="C6" s="14" t="str">
        <x:v>K3 — Preparation &amp; Cooking Techniques</x:v>
      </x:c>
      <x:c r="D6" s="14" t="str">
        <x:v>Technical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8" t="str">
        <x:v>https://ci.turkpatent.gov.tr/Files/GeographicalSigns/493a7cc8-b7da-4f95-bf8c-f82617bc990a.pdf</x:v>
      </x:c>
      <x:c r="I6" s="14" t="str">
        <x:v>L0</x:v>
      </x:c>
      <x:c r="J6" s="14" t="str">
        <x:v>low</x:v>
      </x:c>
      <x:c r="K6" s="14" t="str">
        <x:v>standard</x:v>
      </x:c>
      <x:c r="L6" s="26" t="str">
        <x:v>sufficient</x:v>
      </x:c>
      <x:c r="M6" s="26" t="str">
        <x:v>clear</x:v>
      </x:c>
      <x:c r="N6" s="26" t="str">
        <x:v>correct</x:v>
      </x:c>
      <x:c r="O6" s="26" t="str">
        <x:v>complete</x:v>
      </x:c>
      <x:c r="P6" s="26" t="str">
        <x:v>accept</x:v>
      </x:c>
      <x:c r="Q6" s="27"/>
      <x:c r="R6" s="27"/>
      <x:c r="S6" s="27"/>
      <x:c r="T6" s="27"/>
    </x:row>
    <x:row r="7" ht="48" customHeight="1">
      <x:c r="A7" s="14" t="str">
        <x:v>D002</x:v>
      </x:c>
      <x:c r="B7" s="14" t="str">
        <x:v>F017</x:v>
      </x:c>
      <x:c r="C7" s="14" t="str">
        <x:v>K3 — Preparation &amp; Cooking Techniques</x:v>
      </x:c>
      <x:c r="D7" s="14" t="str">
        <x:v>Local/Technical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8" t="str">
        <x:v>https://ci.turkpatent.gov.tr/Files/GeographicalSigns/8c3d053b-bb27-4305-a46f-398c181d189e.pdf</x:v>
      </x:c>
      <x:c r="I7" s="14" t="str">
        <x:v>L0</x:v>
      </x:c>
      <x:c r="J7" s="14" t="str">
        <x:v>low</x:v>
      </x:c>
      <x:c r="K7" s="14" t="str">
        <x:v>standard</x:v>
      </x:c>
      <x:c r="L7" s="26" t="str">
        <x:v>sufficient</x:v>
      </x:c>
      <x:c r="M7" s="26" t="str">
        <x:v>minor_revision</x:v>
      </x:c>
      <x:c r="N7" s="26" t="str">
        <x:v>correct</x:v>
      </x:c>
      <x:c r="O7" s="26" t="str">
        <x:v>complete</x:v>
      </x:c>
      <x:c r="P7" s="26" t="str">
        <x:v>revise</x:v>
      </x:c>
      <x:c r="Q7" s="27"/>
      <x:c r="R7" s="27"/>
      <x:c r="S7" s="27"/>
      <x:c r="T7" s="27"/>
    </x:row>
    <x:row r="8" ht="48" customHeight="1">
      <x:c r="A8" s="14" t="str">
        <x:v>D003</x:v>
      </x:c>
      <x:c r="B8" s="14" t="str">
        <x:v>F019</x:v>
      </x:c>
      <x:c r="C8" s="14" t="str">
        <x:v>K3 — Preparation &amp; Cooking Techniques</x:v>
      </x:c>
      <x:c r="D8" s="14" t="str">
        <x:v>General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8" t="str">
        <x:v>https://ich.unesco.org/en/RL/turkish-coffee-culture-and-tradition-00645</x:v>
      </x:c>
      <x:c r="I8" s="14" t="str">
        <x:v>L0</x:v>
      </x:c>
      <x:c r="J8" s="14" t="str">
        <x:v>low</x:v>
      </x:c>
      <x:c r="K8" s="14" t="str">
        <x:v>standard</x:v>
      </x:c>
      <x:c r="L8" s="26" t="str">
        <x:v>sufficient</x:v>
      </x:c>
      <x:c r="M8" s="26" t="str">
        <x:v>clear</x:v>
      </x:c>
      <x:c r="N8" s="26" t="str">
        <x:v>correct</x:v>
      </x:c>
      <x:c r="O8" s="26" t="str">
        <x:v>complete</x:v>
      </x:c>
      <x:c r="P8" s="26" t="str">
        <x:v>accept</x:v>
      </x:c>
      <x:c r="Q8" s="27"/>
      <x:c r="R8" s="27"/>
      <x:c r="S8" s="27"/>
      <x:c r="T8" s="27"/>
    </x:row>
    <x:row r="9" ht="48" customHeight="1">
      <x:c r="A9" s="14" t="str">
        <x:v>D004</x:v>
      </x:c>
      <x:c r="B9" s="14" t="str">
        <x:v>F028</x:v>
      </x:c>
      <x:c r="C9" s="14" t="str">
        <x:v>K5 — Culinary Terminology &amp; Traditional Practices</x:v>
      </x:c>
      <x:c r="D9" s="14" t="str">
        <x:v>General/Heritage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8" t="str">
        <x:v>https://ich.unesco.org/en/RL/turkish-coffee-culture-and-tradition-00645</x:v>
      </x:c>
      <x:c r="I9" s="14" t="str">
        <x:v>L0</x:v>
      </x:c>
      <x:c r="J9" s="14" t="str">
        <x:v>low</x:v>
      </x:c>
      <x:c r="K9" s="14" t="str">
        <x:v>standard</x:v>
      </x:c>
      <x:c r="L9" s="26" t="str">
        <x:v>sufficient</x:v>
      </x:c>
      <x:c r="M9" s="26" t="str">
        <x:v>clear</x:v>
      </x:c>
      <x:c r="N9" s="26" t="str">
        <x:v>correct</x:v>
      </x:c>
      <x:c r="O9" s="26" t="str">
        <x:v>complete</x:v>
      </x:c>
      <x:c r="P9" s="26" t="str">
        <x:v>accept</x:v>
      </x:c>
      <x:c r="Q9" s="27"/>
      <x:c r="R9" s="27"/>
      <x:c r="S9" s="27"/>
      <x:c r="T9" s="27"/>
    </x:row>
    <x:row r="10" ht="48" customHeight="1">
      <x:c r="A10" s="14" t="str">
        <x:v>D005</x:v>
      </x:c>
      <x:c r="B10" s="14" t="str">
        <x:v>F056</x:v>
      </x:c>
      <x:c r="C10" s="14" t="str">
        <x:v>K2 — Ingredients &amp; Composition</x:v>
      </x:c>
      <x:c r="D10" s="14" t="str">
        <x:v>Regional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8" t="str">
        <x:v>https://ci.turkpatent.gov.tr/Files/GeographicalSigns/315.pdf</x:v>
      </x:c>
      <x:c r="I10" s="14" t="str">
        <x:v>L0</x:v>
      </x:c>
      <x:c r="J10" s="14" t="str">
        <x:v>low</x:v>
      </x:c>
      <x:c r="K10" s="14" t="str">
        <x:v>standard</x:v>
      </x:c>
      <x:c r="L10" s="26" t="str">
        <x:v>sufficient</x:v>
      </x:c>
      <x:c r="M10" s="26" t="str">
        <x:v>clear</x:v>
      </x:c>
      <x:c r="N10" s="26" t="str">
        <x:v>correct</x:v>
      </x:c>
      <x:c r="O10" s="26" t="str">
        <x:v>complete</x:v>
      </x:c>
      <x:c r="P10" s="26" t="str">
        <x:v>accept</x:v>
      </x:c>
      <x:c r="Q10" s="27"/>
      <x:c r="R10" s="27"/>
      <x:c r="S10" s="27"/>
      <x:c r="T10" s="27"/>
    </x:row>
    <x:row r="11" ht="48" customHeight="1">
      <x:c r="A11" s="14" t="str">
        <x:v>D006</x:v>
      </x:c>
      <x:c r="B11" s="14" t="str">
        <x:v>F060</x:v>
      </x:c>
      <x:c r="C11" s="14" t="str">
        <x:v>K3 — Preparation &amp; Cooking Techniques</x:v>
      </x:c>
      <x:c r="D11" s="14" t="str">
        <x:v>Local/Technical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8" t="str">
        <x:v>https://ci.turkpatent.gov.tr/Files/GeographicalSigns/226.pdf</x:v>
      </x:c>
      <x:c r="I11" s="14" t="str">
        <x:v>L0</x:v>
      </x:c>
      <x:c r="J11" s="14" t="str">
        <x:v>low</x:v>
      </x:c>
      <x:c r="K11" s="14" t="str">
        <x:v>standard</x:v>
      </x:c>
      <x:c r="L11" s="26" t="str">
        <x:v>sufficient</x:v>
      </x:c>
      <x:c r="M11" s="26" t="str">
        <x:v>clear</x:v>
      </x:c>
      <x:c r="N11" s="26" t="str">
        <x:v>correct</x:v>
      </x:c>
      <x:c r="O11" s="26" t="str">
        <x:v>complete</x:v>
      </x:c>
      <x:c r="P11" s="26" t="str">
        <x:v>accept</x:v>
      </x:c>
      <x:c r="Q11" s="27"/>
      <x:c r="R11" s="27"/>
      <x:c r="S11" s="27"/>
      <x:c r="T11" s="27"/>
    </x:row>
    <x:row r="12" ht="48" customHeight="1">
      <x:c r="A12" s="14" t="str">
        <x:v>D007</x:v>
      </x:c>
      <x:c r="B12" s="14" t="str">
        <x:v>F065</x:v>
      </x:c>
      <x:c r="C12" s="14" t="str">
        <x:v>K2 — Ingredients &amp; Composition</x:v>
      </x:c>
      <x:c r="D12" s="14" t="str">
        <x:v>Local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8" t="str">
        <x:v>https://ci.turkpatent.gov.tr/Files/GeographicalSigns/5212ffda-73e7-4b2a-955b-49d1d24c8dd8.pdf</x:v>
      </x:c>
      <x:c r="I12" s="14" t="str">
        <x:v>L0</x:v>
      </x:c>
      <x:c r="J12" s="14" t="str">
        <x:v>low</x:v>
      </x:c>
      <x:c r="K12" s="14" t="str">
        <x:v>standard</x:v>
      </x:c>
      <x:c r="L12" s="26" t="str">
        <x:v>sufficient</x:v>
      </x:c>
      <x:c r="M12" s="26" t="str">
        <x:v>clear</x:v>
      </x:c>
      <x:c r="N12" s="26" t="str">
        <x:v>correct</x:v>
      </x:c>
      <x:c r="O12" s="26" t="str">
        <x:v>complete</x:v>
      </x:c>
      <x:c r="P12" s="26" t="str">
        <x:v>accept</x:v>
      </x:c>
      <x:c r="Q12" s="27"/>
      <x:c r="R12" s="27"/>
      <x:c r="S12" s="27"/>
      <x:c r="T12" s="27"/>
    </x:row>
    <x:row r="13" ht="48" customHeight="1">
      <x:c r="A13" s="14" t="str">
        <x:v>D008</x:v>
      </x:c>
      <x:c r="B13" s="14" t="str">
        <x:v>F068</x:v>
      </x:c>
      <x:c r="C13" s="14" t="str">
        <x:v>K2 — Ingredients &amp; Composition</x:v>
      </x:c>
      <x:c r="D13" s="14" t="str">
        <x:v>Local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8" t="str">
        <x:v>https://ci.turkpatent.gov.tr/Files/GeographicalSigns/ffe64b55-cc1a-4e1f-90ff-1f9a90128a25.pdf</x:v>
      </x:c>
      <x:c r="I13" s="14" t="str">
        <x:v>L0</x:v>
      </x:c>
      <x:c r="J13" s="14" t="str">
        <x:v>low</x:v>
      </x:c>
      <x:c r="K13" s="14" t="str">
        <x:v>standard</x:v>
      </x:c>
      <x:c r="L13" s="26" t="str">
        <x:v>sufficient</x:v>
      </x:c>
      <x:c r="M13" s="26" t="str">
        <x:v>clear</x:v>
      </x:c>
      <x:c r="N13" s="26" t="str">
        <x:v>correct</x:v>
      </x:c>
      <x:c r="O13" s="26" t="str">
        <x:v>complete</x:v>
      </x:c>
      <x:c r="P13" s="26" t="str">
        <x:v>accept</x:v>
      </x:c>
      <x:c r="Q13" s="27"/>
      <x:c r="R13" s="27"/>
      <x:c r="S13" s="27"/>
      <x:c r="T13" s="27"/>
    </x:row>
    <x:row r="14" ht="48" customHeight="1">
      <x:c r="A14" s="14" t="str">
        <x:v>D009</x:v>
      </x:c>
      <x:c r="B14" s="14" t="str">
        <x:v>F009</x:v>
      </x:c>
      <x:c r="C14" s="14" t="str">
        <x:v>K2 — Ingredients &amp; Composition</x:v>
      </x:c>
      <x:c r="D14" s="14" t="str">
        <x:v>Regional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8" t="str">
        <x:v>https://ci.turkpatent.gov.tr/Files/GeographicalSigns/8c3d053b-bb27-4305-a46f-398c181d189e.pdf</x:v>
      </x:c>
      <x:c r="I14" s="14" t="str">
        <x:v>L0</x:v>
      </x:c>
      <x:c r="J14" s="14" t="str">
        <x:v>medium</x:v>
      </x:c>
      <x:c r="K14" s="14" t="str">
        <x:v>enhanced</x:v>
      </x:c>
      <x:c r="L14" s="26" t="str">
        <x:v>sufficient</x:v>
      </x:c>
      <x:c r="M14" s="26" t="str">
        <x:v>clear</x:v>
      </x:c>
      <x:c r="N14" s="26" t="str">
        <x:v>correct</x:v>
      </x:c>
      <x:c r="O14" s="26" t="str">
        <x:v>complete</x:v>
      </x:c>
      <x:c r="P14" s="26" t="str">
        <x:v>accept</x:v>
      </x:c>
      <x:c r="Q14" s="27"/>
      <x:c r="R14" s="27"/>
      <x:c r="S14" s="27"/>
      <x:c r="T14" s="27" t="str">
        <x:v>Confirm that both answer components are mandatory.</x:v>
      </x:c>
    </x:row>
    <x:row r="15" ht="48" customHeight="1">
      <x:c r="A15" s="14" t="str">
        <x:v>D010</x:v>
      </x:c>
      <x:c r="B15" s="14" t="str">
        <x:v>F031</x:v>
      </x:c>
      <x:c r="C15" s="14" t="str">
        <x:v>K5 — Culinary Terminology &amp; Traditional Practices</x:v>
      </x:c>
      <x:c r="D15" s="14" t="str">
        <x:v>General/Heritage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8" t="str">
        <x:v>https://ich.unesco.org/en/RL/culture-of-cay-tea-a-symbol-of-identity-hospitality-and-social-interaction-01685</x:v>
      </x:c>
      <x:c r="I15" s="14" t="str">
        <x:v>L0</x:v>
      </x:c>
      <x:c r="J15" s="14" t="str">
        <x:v>medium</x:v>
      </x:c>
      <x:c r="K15" s="14" t="str">
        <x:v>enhanced</x:v>
      </x:c>
      <x:c r="L15" s="26" t="str">
        <x:v>sufficient</x:v>
      </x:c>
      <x:c r="M15" s="26" t="str">
        <x:v>clear</x:v>
      </x:c>
      <x:c r="N15" s="26" t="str">
        <x:v>correct</x:v>
      </x:c>
      <x:c r="O15" s="26" t="str">
        <x:v>complete</x:v>
      </x:c>
      <x:c r="P15" s="26" t="str">
        <x:v>accept</x:v>
      </x:c>
      <x:c r="Q15" s="27"/>
      <x:c r="R15" s="27"/>
      <x:c r="S15" s="27"/>
      <x:c r="T15" s="27" t="str">
        <x:v>Decide whether 'ince belli bardak' should be accepted.</x:v>
      </x:c>
    </x:row>
    <x:row r="16" ht="48" customHeight="1">
      <x:c r="A16" s="14" t="str">
        <x:v>D011</x:v>
      </x:c>
      <x:c r="B16" s="14" t="str">
        <x:v>F083</x:v>
      </x:c>
      <x:c r="C16" s="14" t="str">
        <x:v>K5 — Culinary Terminology &amp; Traditional Practices</x:v>
      </x:c>
      <x:c r="D16" s="14" t="str">
        <x:v>Regional/Heritage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8" t="str">
        <x:v>https://ich.unesco.org/en/RL/flatbread-making-and-sharing-culture-lavash-katyrma-jupka-yufka-01181</x:v>
      </x:c>
      <x:c r="I16" s="14" t="str">
        <x:v>L0</x:v>
      </x:c>
      <x:c r="J16" s="14" t="str">
        <x:v>low</x:v>
      </x:c>
      <x:c r="K16" s="14" t="str">
        <x:v>standard</x:v>
      </x:c>
      <x:c r="L16" s="26" t="str">
        <x:v>sufficient</x:v>
      </x:c>
      <x:c r="M16" s="26" t="str">
        <x:v>clear</x:v>
      </x:c>
      <x:c r="N16" s="26" t="str">
        <x:v>correct</x:v>
      </x:c>
      <x:c r="O16" s="26" t="str">
        <x:v>complete</x:v>
      </x:c>
      <x:c r="P16" s="26" t="str">
        <x:v>accept</x:v>
      </x:c>
      <x:c r="Q16" s="27"/>
      <x:c r="R16" s="27"/>
      <x:c r="S16" s="27"/>
      <x:c r="T16" s="27"/>
    </x:row>
    <x:row r="17" ht="48" customHeight="1">
      <x:c r="A17" s="14" t="str">
        <x:v>D012</x:v>
      </x:c>
      <x:c r="B17" s="14" t="str">
        <x:v>F087</x:v>
      </x:c>
      <x:c r="C17" s="14" t="str">
        <x:v>K5 — Culinary Terminology &amp; Traditional Practices</x:v>
      </x:c>
      <x:c r="D17" s="14" t="str">
        <x:v>Local/Heritage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8" t="str">
        <x:v>https://ich.unesco.org/en/RL/ceremonial-keskek-tradition-00388</x:v>
      </x:c>
      <x:c r="I17" s="14" t="str">
        <x:v>L0</x:v>
      </x:c>
      <x:c r="J17" s="14" t="str">
        <x:v>low</x:v>
      </x:c>
      <x:c r="K17" s="14" t="str">
        <x:v>standard</x:v>
      </x:c>
      <x:c r="L17" s="26" t="str">
        <x:v>sufficient</x:v>
      </x:c>
      <x:c r="M17" s="26" t="str">
        <x:v>clear</x:v>
      </x:c>
      <x:c r="N17" s="26" t="str">
        <x:v>correct</x:v>
      </x:c>
      <x:c r="O17" s="26" t="str">
        <x:v>complete</x:v>
      </x:c>
      <x:c r="P17" s="26" t="str">
        <x:v>accept</x:v>
      </x:c>
      <x:c r="Q17" s="27"/>
      <x:c r="R17" s="27"/>
      <x:c r="S17" s="27"/>
      <x:c r="T17" s="27"/>
    </x:row>
    <x:row r="18" ht="48" customHeight="1">
      <x:c r="A18" s="14" t="str">
        <x:v>D013</x:v>
      </x:c>
      <x:c r="B18" s="14" t="str">
        <x:v>F100</x:v>
      </x:c>
      <x:c r="C18" s="14" t="str">
        <x:v>K6 — Culinary History, Heritage &amp; Cultural Context</x:v>
      </x:c>
      <x:c r="D18" s="14" t="str">
        <x:v>General/Heritage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8" t="str">
        <x:v>https://kulturportali.gov.tr/portal/geleneksel-lezzetler--7-ozel-gun-yemegi</x:v>
      </x:c>
      <x:c r="I18" s="14" t="str">
        <x:v>L0</x:v>
      </x:c>
      <x:c r="J18" s="14" t="str">
        <x:v>low</x:v>
      </x:c>
      <x:c r="K18" s="14" t="str">
        <x:v>standard</x:v>
      </x:c>
      <x:c r="L18" s="26" t="str">
        <x:v>sufficient</x:v>
      </x:c>
      <x:c r="M18" s="26" t="str">
        <x:v>clear</x:v>
      </x:c>
      <x:c r="N18" s="26" t="str">
        <x:v>correct</x:v>
      </x:c>
      <x:c r="O18" s="26" t="str">
        <x:v>complete</x:v>
      </x:c>
      <x:c r="P18" s="26" t="str">
        <x:v>accept</x:v>
      </x:c>
      <x:c r="Q18" s="27"/>
      <x:c r="R18" s="27"/>
      <x:c r="S18" s="27"/>
      <x:c r="T18" s="27"/>
    </x:row>
    <x:row r="19" ht="48" customHeight="1">
      <x:c r="A19" s="14" t="str">
        <x:v>D014</x:v>
      </x:c>
      <x:c r="B19" s="14" t="str">
        <x:v>F112</x:v>
      </x:c>
      <x:c r="C19" s="14" t="str">
        <x:v>K6 — Culinary History, Heritage &amp; Cultural Context</x:v>
      </x:c>
      <x:c r="D19" s="14" t="str">
        <x:v>Local/Heritage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8" t="str">
        <x:v>https://www.kulturportali.gov.tr/turkiye/tekirdag/neyenir/herise-keskek</x:v>
      </x:c>
      <x:c r="I19" s="14" t="str">
        <x:v>L0</x:v>
      </x:c>
      <x:c r="J19" s="14" t="str">
        <x:v>low</x:v>
      </x:c>
      <x:c r="K19" s="14" t="str">
        <x:v>standard</x:v>
      </x:c>
      <x:c r="L19" s="26" t="str">
        <x:v>sufficient</x:v>
      </x:c>
      <x:c r="M19" s="26" t="str">
        <x:v>clear</x:v>
      </x:c>
      <x:c r="N19" s="26" t="str">
        <x:v>correct</x:v>
      </x:c>
      <x:c r="O19" s="26" t="str">
        <x:v>complete</x:v>
      </x:c>
      <x:c r="P19" s="26" t="str">
        <x:v>accept</x:v>
      </x:c>
      <x:c r="Q19" s="27"/>
      <x:c r="R19" s="27"/>
      <x:c r="S19" s="27"/>
      <x:c r="T19" s="27"/>
    </x:row>
    <x:row r="20" ht="48" customHeight="1">
      <x:c r="A20" s="14" t="str">
        <x:v>D015</x:v>
      </x:c>
      <x:c r="B20" s="14" t="str">
        <x:v>F059</x:v>
      </x:c>
      <x:c r="C20" s="14" t="str">
        <x:v>K5 — Culinary Terminology &amp; Traditional Practices</x:v>
      </x:c>
      <x:c r="D20" s="14" t="str">
        <x:v>Local/Technical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8" t="str">
        <x:v>https://ci.turkpatent.gov.tr/Files/GeographicalSigns/226.pdf</x:v>
      </x:c>
      <x:c r="I20" s="14" t="str">
        <x:v>L0</x:v>
      </x:c>
      <x:c r="J20" s="14" t="str">
        <x:v>low</x:v>
      </x:c>
      <x:c r="K20" s="14" t="str">
        <x:v>standard</x:v>
      </x:c>
      <x:c r="L20" s="26" t="str">
        <x:v>sufficient</x:v>
      </x:c>
      <x:c r="M20" s="26" t="str">
        <x:v>clear</x:v>
      </x:c>
      <x:c r="N20" s="26" t="str">
        <x:v>correct</x:v>
      </x:c>
      <x:c r="O20" s="26" t="str">
        <x:v>complete</x:v>
      </x:c>
      <x:c r="P20" s="26" t="str">
        <x:v>accept</x:v>
      </x:c>
      <x:c r="Q20" s="27"/>
      <x:c r="R20" s="27"/>
      <x:c r="S20" s="27"/>
      <x:c r="T20" s="27"/>
    </x:row>
    <x:row r="21" ht="48" customHeight="1">
      <x:c r="A21" s="14" t="str">
        <x:v>D016</x:v>
      </x:c>
      <x:c r="B21" s="14" t="str">
        <x:v>F102</x:v>
      </x:c>
      <x:c r="C21" s="14" t="str">
        <x:v>K5 — Culinary Terminology &amp; Traditional Practices</x:v>
      </x:c>
      <x:c r="D21" s="14" t="str">
        <x:v>Local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8" t="str">
        <x:v>https://kulturportali.gov.tr/turkiye/izmir/neyenir/lokma-zmir-lokmasi</x:v>
      </x:c>
      <x:c r="I21" s="14" t="str">
        <x:v>L0</x:v>
      </x:c>
      <x:c r="J21" s="14" t="str">
        <x:v>low</x:v>
      </x:c>
      <x:c r="K21" s="14" t="str">
        <x:v>standard</x:v>
      </x:c>
      <x:c r="L21" s="26" t="str">
        <x:v>sufficient</x:v>
      </x:c>
      <x:c r="M21" s="26" t="str">
        <x:v>clear</x:v>
      </x:c>
      <x:c r="N21" s="26" t="str">
        <x:v>correct</x:v>
      </x:c>
      <x:c r="O21" s="26" t="str">
        <x:v>complete</x:v>
      </x:c>
      <x:c r="P21" s="26" t="str">
        <x:v>accept</x:v>
      </x:c>
      <x:c r="Q21" s="27"/>
      <x:c r="R21" s="27"/>
      <x:c r="S21" s="27"/>
      <x:c r="T21" s="27"/>
    </x:row>
    <x:row r="22" ht="48" customHeight="1">
      <x:c r="A22" s="14" t="str">
        <x:v>D017</x:v>
      </x:c>
      <x:c r="B22" s="14" t="str">
        <x:v>F104</x:v>
      </x:c>
      <x:c r="C22" s="14" t="str">
        <x:v>K5 — Culinary Terminology &amp; Traditional Practices</x:v>
      </x:c>
      <x:c r="D22" s="14" t="str">
        <x:v>Local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8" t="str">
        <x:v>https://www.kulturportali.gov.tr/turkiye/izmir/neyenir/cop-ss</x:v>
      </x:c>
      <x:c r="I22" s="14" t="str">
        <x:v>L0</x:v>
      </x:c>
      <x:c r="J22" s="14" t="str">
        <x:v>medium</x:v>
      </x:c>
      <x:c r="K22" s="14" t="str">
        <x:v>enhanced</x:v>
      </x:c>
      <x:c r="L22" s="26" t="str">
        <x:v>sufficient</x:v>
      </x:c>
      <x:c r="M22" s="26" t="str">
        <x:v>clear</x:v>
      </x:c>
      <x:c r="N22" s="26" t="str">
        <x:v>correct</x:v>
      </x:c>
      <x:c r="O22" s="26" t="str">
        <x:v>complete</x:v>
      </x:c>
      <x:c r="P22" s="26" t="str">
        <x:v>accept</x:v>
      </x:c>
      <x:c r="Q22" s="27"/>
      <x:c r="R22" s="27"/>
      <x:c r="S22" s="27"/>
      <x:c r="T22" s="27" t="str">
        <x:v>Verify equivalence of the two local terms.</x:v>
      </x:c>
    </x:row>
    <x:row r="23" ht="48" customHeight="1">
      <x:c r="A23" s="14" t="str">
        <x:v>D018</x:v>
      </x:c>
      <x:c r="B23" s="14" t="str">
        <x:v>F106</x:v>
      </x:c>
      <x:c r="C23" s="14" t="str">
        <x:v>K5 — Culinary Terminology &amp; Traditional Practices</x:v>
      </x:c>
      <x:c r="D23" s="14" t="str">
        <x:v>Local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8" t="str">
        <x:v>https://kulturportali.gov.tr/turkiye/izmir/neyenir/cbez-cibes-salatasi</x:v>
      </x:c>
      <x:c r="I23" s="14" t="str">
        <x:v>L1</x:v>
      </x:c>
      <x:c r="J23" s="14" t="str">
        <x:v>low</x:v>
      </x:c>
      <x:c r="K23" s="14" t="str">
        <x:v>standard</x:v>
      </x:c>
      <x:c r="L23" s="26" t="str">
        <x:v>sufficient</x:v>
      </x:c>
      <x:c r="M23" s="26" t="str">
        <x:v>clear</x:v>
      </x:c>
      <x:c r="N23" s="26" t="str">
        <x:v>correct</x:v>
      </x:c>
      <x:c r="O23" s="26" t="str">
        <x:v>complete</x:v>
      </x:c>
      <x:c r="P23" s="26" t="str">
        <x:v>accept</x:v>
      </x:c>
      <x:c r="Q23" s="27"/>
      <x:c r="R23" s="27"/>
      <x:c r="S23" s="27"/>
      <x:c r="T23" s="27"/>
    </x:row>
    <x:row r="24" ht="48" customHeight="1">
      <x:c r="A24" s="14" t="str">
        <x:v>D019</x:v>
      </x:c>
      <x:c r="B24" s="14" t="str">
        <x:v>F113</x:v>
      </x:c>
      <x:c r="C24" s="14" t="str">
        <x:v>K5 — Culinary Terminology &amp; Traditional Practices</x:v>
      </x:c>
      <x:c r="D24" s="14" t="str">
        <x:v>Local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8" t="str">
        <x:v>https://www.kulturportali.gov.tr/turkiye/edirne/neyenir/kacamak-2</x:v>
      </x:c>
      <x:c r="I24" s="14" t="str">
        <x:v>L1</x:v>
      </x:c>
      <x:c r="J24" s="14" t="str">
        <x:v>low</x:v>
      </x:c>
      <x:c r="K24" s="14" t="str">
        <x:v>standard</x:v>
      </x:c>
      <x:c r="L24" s="26" t="str">
        <x:v>sufficient</x:v>
      </x:c>
      <x:c r="M24" s="26" t="str">
        <x:v>clear</x:v>
      </x:c>
      <x:c r="N24" s="26" t="str">
        <x:v>correct</x:v>
      </x:c>
      <x:c r="O24" s="26" t="str">
        <x:v>complete</x:v>
      </x:c>
      <x:c r="P24" s="26" t="str">
        <x:v>accept</x:v>
      </x:c>
      <x:c r="Q24" s="27"/>
      <x:c r="R24" s="27"/>
      <x:c r="S24" s="27"/>
      <x:c r="T24" s="27"/>
    </x:row>
    <x:row r="25" ht="48" customHeight="1">
      <x:c r="A25" s="14" t="str">
        <x:v>D020</x:v>
      </x:c>
      <x:c r="B25" s="14" t="str">
        <x:v>F116</x:v>
      </x:c>
      <x:c r="C25" s="14" t="str">
        <x:v>K5 — Culinary Terminology &amp; Traditional Practices</x:v>
      </x:c>
      <x:c r="D25" s="14" t="str">
        <x:v>Local/Heritage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8" t="str">
        <x:v>https://www.kulturportali.gov.tr/turkiye/afyonkarahisar/kulturatlasi/sira-yemegi</x:v>
      </x:c>
      <x:c r="I25" s="14" t="str">
        <x:v>L0</x:v>
      </x:c>
      <x:c r="J25" s="14" t="str">
        <x:v>low</x:v>
      </x:c>
      <x:c r="K25" s="14" t="str">
        <x:v>standard</x:v>
      </x:c>
      <x:c r="L25" s="26" t="str">
        <x:v>sufficient</x:v>
      </x:c>
      <x:c r="M25" s="26" t="str">
        <x:v>clear</x:v>
      </x:c>
      <x:c r="N25" s="26" t="str">
        <x:v>correct</x:v>
      </x:c>
      <x:c r="O25" s="26" t="str">
        <x:v>complete</x:v>
      </x:c>
      <x:c r="P25" s="26" t="str">
        <x:v>accept</x:v>
      </x:c>
      <x:c r="Q25" s="27"/>
      <x:c r="R25" s="27"/>
      <x:c r="S25" s="27"/>
      <x:c r="T25" s="27"/>
    </x:row>
    <x:row r="26" ht="48" customHeight="1">
      <x:c r="A26" s="14" t="str">
        <x:v>D021</x:v>
      </x:c>
      <x:c r="B26" s="14" t="str">
        <x:v>F117</x:v>
      </x:c>
      <x:c r="C26" s="14" t="str">
        <x:v>K6 — Culinary History, Heritage &amp; Cultural Context</x:v>
      </x:c>
      <x:c r="D26" s="14" t="str">
        <x:v>Local/Heritage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8" t="str">
        <x:v>https://www.kulturportali.gov.tr/turkiye/afyonkarahisar/kulturatlasi/sira-yemegi</x:v>
      </x:c>
      <x:c r="I26" s="14" t="str">
        <x:v>L0</x:v>
      </x:c>
      <x:c r="J26" s="14" t="str">
        <x:v>medium</x:v>
      </x:c>
      <x:c r="K26" s="14" t="str">
        <x:v>enhanced</x:v>
      </x:c>
      <x:c r="L26" s="26" t="str">
        <x:v>sufficient</x:v>
      </x:c>
      <x:c r="M26" s="26" t="str">
        <x:v>minor_revision</x:v>
      </x:c>
      <x:c r="N26" s="26" t="str">
        <x:v>correct</x:v>
      </x:c>
      <x:c r="O26" s="26" t="str">
        <x:v>complete</x:v>
      </x:c>
      <x:c r="P26" s="26" t="str">
        <x:v>revise</x:v>
      </x:c>
      <x:c r="Q26" s="27"/>
      <x:c r="R26" s="27"/>
      <x:c r="S26" s="27"/>
      <x:c r="T26" s="27" t="str">
        <x:v>Confirm zinardı / sini ardı spelling and short forms.</x:v>
      </x:c>
    </x:row>
    <x:row r="27" ht="48" customHeight="1">
      <x:c r="A27" s="14" t="str">
        <x:v>D022</x:v>
      </x:c>
      <x:c r="B27" s="14" t="str">
        <x:v>F118</x:v>
      </x:c>
      <x:c r="C27" s="14" t="str">
        <x:v>K5 — Culinary Terminology &amp; Traditional Practices</x:v>
      </x:c>
      <x:c r="D27" s="14" t="str">
        <x:v>Local/Technical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8" t="str">
        <x:v>https://www.kulturportali.gov.tr/turkiye/afyonkarahisar/kulturatlasi/sira-yemegi</x:v>
      </x:c>
      <x:c r="I27" s="14" t="str">
        <x:v>L0</x:v>
      </x:c>
      <x:c r="J27" s="14" t="str">
        <x:v>low</x:v>
      </x:c>
      <x:c r="K27" s="14" t="str">
        <x:v>standard</x:v>
      </x:c>
      <x:c r="L27" s="26" t="str">
        <x:v>sufficient</x:v>
      </x:c>
      <x:c r="M27" s="26" t="str">
        <x:v>clear</x:v>
      </x:c>
      <x:c r="N27" s="26" t="str">
        <x:v>correct</x:v>
      </x:c>
      <x:c r="O27" s="26" t="str">
        <x:v>complete</x:v>
      </x:c>
      <x:c r="P27" s="26" t="str">
        <x:v>accept</x:v>
      </x:c>
      <x:c r="Q27" s="27"/>
      <x:c r="R27" s="27"/>
      <x:c r="S27" s="27"/>
      <x:c r="T27" s="27"/>
    </x:row>
    <x:row r="28" ht="48" customHeight="1">
      <x:c r="A28" s="14" t="str">
        <x:v>D023</x:v>
      </x:c>
      <x:c r="B28" s="14" t="str">
        <x:v>F008</x:v>
      </x:c>
      <x:c r="C28" s="14" t="str">
        <x:v>K2 — Ingredients &amp; Composition</x:v>
      </x:c>
      <x:c r="D28" s="14" t="str">
        <x:v>Technical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8" t="str">
        <x:v>https://ci.turkpatent.gov.tr/Files/GeographicalSigns/0cbbdd44-8cae-4ef4-af94-b2889a94f28c.pdf</x:v>
      </x:c>
      <x:c r="I28" s="14" t="str">
        <x:v>L1</x:v>
      </x:c>
      <x:c r="J28" s="14" t="str">
        <x:v>low</x:v>
      </x:c>
      <x:c r="K28" s="14" t="str">
        <x:v>standard</x:v>
      </x:c>
      <x:c r="L28" s="26" t="str">
        <x:v>sufficient</x:v>
      </x:c>
      <x:c r="M28" s="26" t="str">
        <x:v>clear</x:v>
      </x:c>
      <x:c r="N28" s="26" t="str">
        <x:v>correct</x:v>
      </x:c>
      <x:c r="O28" s="26" t="str">
        <x:v>complete</x:v>
      </x:c>
      <x:c r="P28" s="26" t="str">
        <x:v>accept</x:v>
      </x:c>
      <x:c r="Q28" s="27"/>
      <x:c r="R28" s="27"/>
      <x:c r="S28" s="27"/>
      <x:c r="T28" s="27"/>
    </x:row>
    <x:row r="29" ht="48" customHeight="1">
      <x:c r="A29" s="14" t="str">
        <x:v>D024</x:v>
      </x:c>
      <x:c r="B29" s="14" t="str">
        <x:v>F016</x:v>
      </x:c>
      <x:c r="C29" s="14" t="str">
        <x:v>K3 — Preparation &amp; Cooking Techniques</x:v>
      </x:c>
      <x:c r="D29" s="14" t="str">
        <x:v>Technical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8" t="str">
        <x:v>https://ci.turkpatent.gov.tr/Files/GeographicalSigns/8c3d053b-bb27-4305-a46f-398c181d189e.pdf</x:v>
      </x:c>
      <x:c r="I29" s="14" t="str">
        <x:v>L0</x:v>
      </x:c>
      <x:c r="J29" s="14" t="str">
        <x:v>medium</x:v>
      </x:c>
      <x:c r="K29" s="14" t="str">
        <x:v>enhanced</x:v>
      </x:c>
      <x:c r="L29" s="26" t="str">
        <x:v>sufficient</x:v>
      </x:c>
      <x:c r="M29" s="26" t="str">
        <x:v>clear</x:v>
      </x:c>
      <x:c r="N29" s="26" t="str">
        <x:v>correct</x:v>
      </x:c>
      <x:c r="O29" s="26" t="str">
        <x:v>complete</x:v>
      </x:c>
      <x:c r="P29" s="26" t="str">
        <x:v>accept</x:v>
      </x:c>
      <x:c r="Q29" s="27"/>
      <x:c r="R29" s="27"/>
      <x:c r="S29" s="27"/>
      <x:c r="T29" s="27" t="str">
        <x:v>Determine whether the cooling-to-60 °C detail is mandatory.</x:v>
      </x:c>
    </x:row>
    <x:row r="30" ht="48" customHeight="1">
      <x:c r="A30" s="14" t="str">
        <x:v>D025</x:v>
      </x:c>
      <x:c r="B30" s="14" t="str">
        <x:v>F018</x:v>
      </x:c>
      <x:c r="C30" s="14" t="str">
        <x:v>K3 — Preparation &amp; Cooking Techniques</x:v>
      </x:c>
      <x:c r="D30" s="14" t="str">
        <x:v>Technical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8" t="str">
        <x:v>https://ci.turkpatent.gov.tr/Files/GeographicalSigns/11b3bb14-c7b9-4447-89c6-e0858d9f2688.pdf</x:v>
      </x:c>
      <x:c r="I30" s="14" t="str">
        <x:v>L0</x:v>
      </x:c>
      <x:c r="J30" s="14" t="str">
        <x:v>low</x:v>
      </x:c>
      <x:c r="K30" s="14" t="str">
        <x:v>standard</x:v>
      </x:c>
      <x:c r="L30" s="26" t="str">
        <x:v>sufficient</x:v>
      </x:c>
      <x:c r="M30" s="26" t="str">
        <x:v>clear</x:v>
      </x:c>
      <x:c r="N30" s="26" t="str">
        <x:v>correct</x:v>
      </x:c>
      <x:c r="O30" s="26" t="str">
        <x:v>complete</x:v>
      </x:c>
      <x:c r="P30" s="26" t="str">
        <x:v>accept</x:v>
      </x:c>
      <x:c r="Q30" s="27"/>
      <x:c r="R30" s="27"/>
      <x:c r="S30" s="27"/>
      <x:c r="T30" s="27"/>
    </x:row>
    <x:row r="31" ht="48" customHeight="1">
      <x:c r="A31" s="14" t="str">
        <x:v>D026</x:v>
      </x:c>
      <x:c r="B31" s="14" t="str">
        <x:v>F052</x:v>
      </x:c>
      <x:c r="C31" s="14" t="str">
        <x:v>K3 — Preparation &amp; Cooking Techniques</x:v>
      </x:c>
      <x:c r="D31" s="14" t="str">
        <x:v>Local/Technical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8" t="str">
        <x:v>https://ci.turkpatent.gov.tr/Files/GeographicalSigns/024913eb-9b44-4d6b-8a23-d1a173884fd5.pdf</x:v>
      </x:c>
      <x:c r="I31" s="14" t="str">
        <x:v>L0</x:v>
      </x:c>
      <x:c r="J31" s="14" t="str">
        <x:v>low</x:v>
      </x:c>
      <x:c r="K31" s="14" t="str">
        <x:v>standard</x:v>
      </x:c>
      <x:c r="L31" s="26" t="str">
        <x:v>sufficient</x:v>
      </x:c>
      <x:c r="M31" s="26" t="str">
        <x:v>clear</x:v>
      </x:c>
      <x:c r="N31" s="26" t="str">
        <x:v>correct</x:v>
      </x:c>
      <x:c r="O31" s="26" t="str">
        <x:v>complete</x:v>
      </x:c>
      <x:c r="P31" s="26" t="str">
        <x:v>accept</x:v>
      </x:c>
      <x:c r="Q31" s="27"/>
      <x:c r="R31" s="27"/>
      <x:c r="S31" s="27"/>
      <x:c r="T31" s="27"/>
    </x:row>
    <x:row r="32" ht="48" customHeight="1">
      <x:c r="A32" s="14" t="str">
        <x:v>D027</x:v>
      </x:c>
      <x:c r="B32" s="14" t="str">
        <x:v>F062</x:v>
      </x:c>
      <x:c r="C32" s="14" t="str">
        <x:v>K3 — Preparation &amp; Cooking Techniques</x:v>
      </x:c>
      <x:c r="D32" s="14" t="str">
        <x:v>Local/Technical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8" t="str">
        <x:v>https://ci.turkpatent.gov.tr/Files/GeographicalSigns/3612f8b8-12ff-4c4d-bc58-896f37cec09b.pdf</x:v>
      </x:c>
      <x:c r="I32" s="14" t="str">
        <x:v>L0</x:v>
      </x:c>
      <x:c r="J32" s="14" t="str">
        <x:v>low</x:v>
      </x:c>
      <x:c r="K32" s="14" t="str">
        <x:v>standard</x:v>
      </x:c>
      <x:c r="L32" s="26" t="str">
        <x:v>sufficient</x:v>
      </x:c>
      <x:c r="M32" s="26" t="str">
        <x:v>clear</x:v>
      </x:c>
      <x:c r="N32" s="26" t="str">
        <x:v>correct</x:v>
      </x:c>
      <x:c r="O32" s="26" t="str">
        <x:v>complete</x:v>
      </x:c>
      <x:c r="P32" s="26" t="str">
        <x:v>accept</x:v>
      </x:c>
      <x:c r="Q32" s="27"/>
      <x:c r="R32" s="27"/>
      <x:c r="S32" s="27"/>
      <x:c r="T32" s="27"/>
    </x:row>
    <x:row r="33" ht="48" customHeight="1">
      <x:c r="A33" s="14" t="str">
        <x:v>D028</x:v>
      </x:c>
      <x:c r="B33" s="14" t="str">
        <x:v>F109</x:v>
      </x:c>
      <x:c r="C33" s="14" t="str">
        <x:v>K3 — Preparation &amp; Cooking Techniques</x:v>
      </x:c>
      <x:c r="D33" s="14" t="str">
        <x:v>Local/Technical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8" t="str">
        <x:v>https://www.kulturportali.gov.tr/turkiye/tekirdag/neyenir/bulama</x:v>
      </x:c>
      <x:c r="I33" s="14" t="str">
        <x:v>L0</x:v>
      </x:c>
      <x:c r="J33" s="14" t="str">
        <x:v>medium</x:v>
      </x:c>
      <x:c r="K33" s="14" t="str">
        <x:v>enhanced</x:v>
      </x:c>
      <x:c r="L33" s="26" t="str">
        <x:v>sufficient</x:v>
      </x:c>
      <x:c r="M33" s="26" t="str">
        <x:v>clear</x:v>
      </x:c>
      <x:c r="N33" s="26" t="str">
        <x:v>correct</x:v>
      </x:c>
      <x:c r="O33" s="26" t="str">
        <x:v>complete</x:v>
      </x:c>
      <x:c r="P33" s="26" t="str">
        <x:v>accept</x:v>
      </x:c>
      <x:c r="Q33" s="27"/>
      <x:c r="R33" s="27"/>
      <x:c r="S33" s="27"/>
      <x:c r="T33" s="27" t="str">
        <x:v>Verify equivalence of çöven / çöğen.</x:v>
      </x:c>
    </x:row>
    <x:row r="34" ht="48" customHeight="1">
      <x:c r="A34" s="14" t="str">
        <x:v>D029</x:v>
      </x:c>
      <x:c r="B34" s="14" t="str">
        <x:v>F027</x:v>
      </x:c>
      <x:c r="C34" s="14" t="str">
        <x:v>K5 — Culinary Terminology &amp; Traditional Practices</x:v>
      </x:c>
      <x:c r="D34" s="14" t="str">
        <x:v>General/Heritage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8" t="str">
        <x:v>https://ich.unesco.org/en/RL/turkish-coffee-culture-and-tradition-00645</x:v>
      </x:c>
      <x:c r="I34" s="14" t="str">
        <x:v>L0</x:v>
      </x:c>
      <x:c r="J34" s="14" t="str">
        <x:v>low</x:v>
      </x:c>
      <x:c r="K34" s="14" t="str">
        <x:v>standard</x:v>
      </x:c>
      <x:c r="L34" s="26" t="str">
        <x:v>sufficient</x:v>
      </x:c>
      <x:c r="M34" s="26" t="str">
        <x:v>clear</x:v>
      </x:c>
      <x:c r="N34" s="26" t="str">
        <x:v>correct</x:v>
      </x:c>
      <x:c r="O34" s="26" t="str">
        <x:v>complete</x:v>
      </x:c>
      <x:c r="P34" s="26" t="str">
        <x:v>accept</x:v>
      </x:c>
      <x:c r="Q34" s="27"/>
      <x:c r="R34" s="27"/>
      <x:c r="S34" s="27"/>
      <x:c r="T34" s="27"/>
    </x:row>
    <x:row r="35" ht="48" customHeight="1">
      <x:c r="A35" s="14" t="str">
        <x:v>D030</x:v>
      </x:c>
      <x:c r="B35" s="14" t="str">
        <x:v>F036</x:v>
      </x:c>
      <x:c r="C35" s="14" t="str">
        <x:v>K6 — Culinary History, Heritage &amp; Cultural Context</x:v>
      </x:c>
      <x:c r="D35" s="14" t="str">
        <x:v>General/Heritage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8" t="str">
        <x:v>https://ich.unesco.org/en/RL/culture-of-cay-tea-a-symbol-of-identity-hospitality-and-social-interaction-01685</x:v>
      </x:c>
      <x:c r="I35" s="14" t="str">
        <x:v>L0</x:v>
      </x:c>
      <x:c r="J35" s="14" t="str">
        <x:v>low</x:v>
      </x:c>
      <x:c r="K35" s="14" t="str">
        <x:v>standard</x:v>
      </x:c>
      <x:c r="L35" s="26" t="str">
        <x:v>sufficient</x:v>
      </x:c>
      <x:c r="M35" s="26" t="str">
        <x:v>clear</x:v>
      </x:c>
      <x:c r="N35" s="26" t="str">
        <x:v>correct</x:v>
      </x:c>
      <x:c r="O35" s="26" t="str">
        <x:v>complete</x:v>
      </x:c>
      <x:c r="P35" s="26" t="str">
        <x:v>accept</x:v>
      </x:c>
      <x:c r="Q35" s="27"/>
      <x:c r="R35" s="27"/>
      <x:c r="S35" s="27"/>
      <x:c r="T35" s="27"/>
    </x:row>
    <x:row r="36" ht="48" customHeight="1">
      <x:c r="A36" s="14" t="str">
        <x:v>D031</x:v>
      </x:c>
      <x:c r="B36" s="14" t="str">
        <x:v>F084</x:v>
      </x:c>
      <x:c r="C36" s="14" t="str">
        <x:v>K6 — Culinary History, Heritage &amp; Cultural Context</x:v>
      </x:c>
      <x:c r="D36" s="14" t="str">
        <x:v>General/Heritage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8" t="str">
        <x:v>https://ich.unesco.org/en/RL/flatbread-making-and-sharing-culture-lavash-katyrma-jupka-yufka-01181</x:v>
      </x:c>
      <x:c r="I36" s="14" t="str">
        <x:v>L0</x:v>
      </x:c>
      <x:c r="J36" s="14" t="str">
        <x:v>low</x:v>
      </x:c>
      <x:c r="K36" s="14" t="str">
        <x:v>standard</x:v>
      </x:c>
      <x:c r="L36" s="26" t="str">
        <x:v>sufficient</x:v>
      </x:c>
      <x:c r="M36" s="26" t="str">
        <x:v>clear</x:v>
      </x:c>
      <x:c r="N36" s="26" t="str">
        <x:v>correct</x:v>
      </x:c>
      <x:c r="O36" s="26" t="str">
        <x:v>complete</x:v>
      </x:c>
      <x:c r="P36" s="26" t="str">
        <x:v>accept</x:v>
      </x:c>
      <x:c r="Q36" s="27"/>
      <x:c r="R36" s="27"/>
      <x:c r="S36" s="27"/>
      <x:c r="T36" s="27"/>
    </x:row>
    <x:row r="37" ht="48" customHeight="1">
      <x:c r="A37" s="14" t="str">
        <x:v>D032</x:v>
      </x:c>
      <x:c r="B37" s="14" t="str">
        <x:v>F085</x:v>
      </x:c>
      <x:c r="C37" s="14" t="str">
        <x:v>K6 — Culinary History, Heritage &amp; Cultural Context</x:v>
      </x:c>
      <x:c r="D37" s="14" t="str">
        <x:v>Local/Heritage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8" t="str">
        <x:v>https://ich.unesco.org/en/RL/ceremonial-keskek-tradition-00388</x:v>
      </x:c>
      <x:c r="I37" s="14" t="str">
        <x:v>L0</x:v>
      </x:c>
      <x:c r="J37" s="14" t="str">
        <x:v>low</x:v>
      </x:c>
      <x:c r="K37" s="14" t="str">
        <x:v>standard</x:v>
      </x:c>
      <x:c r="L37" s="26" t="str">
        <x:v>sufficient</x:v>
      </x:c>
      <x:c r="M37" s="26" t="str">
        <x:v>clear</x:v>
      </x:c>
      <x:c r="N37" s="26" t="str">
        <x:v>correct</x:v>
      </x:c>
      <x:c r="O37" s="26" t="str">
        <x:v>complete</x:v>
      </x:c>
      <x:c r="P37" s="26" t="str">
        <x:v>accept</x:v>
      </x:c>
      <x:c r="Q37" s="27"/>
      <x:c r="R37" s="27"/>
      <x:c r="S37" s="27"/>
      <x:c r="T37" s="27"/>
    </x:row>
    <x:row r="38" ht="48" customHeight="1">
      <x:c r="A38" s="14" t="str">
        <x:v>D033</x:v>
      </x:c>
      <x:c r="B38" s="14" t="str">
        <x:v>F096</x:v>
      </x:c>
      <x:c r="C38" s="14" t="str">
        <x:v>K6 — Culinary History, Heritage &amp; Cultural Context</x:v>
      </x:c>
      <x:c r="D38" s="14" t="str">
        <x:v>Local/Heritage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8" t="str">
        <x:v>https://ich.unesco.org/en/RL/mesir-macunu-festival-00642</x:v>
      </x:c>
      <x:c r="I38" s="14" t="str">
        <x:v>L0</x:v>
      </x:c>
      <x:c r="J38" s="14" t="str">
        <x:v>low</x:v>
      </x:c>
      <x:c r="K38" s="14" t="str">
        <x:v>standard</x:v>
      </x:c>
      <x:c r="L38" s="26" t="str">
        <x:v>sufficient</x:v>
      </x:c>
      <x:c r="M38" s="26" t="str">
        <x:v>clear</x:v>
      </x:c>
      <x:c r="N38" s="26" t="str">
        <x:v>correct</x:v>
      </x:c>
      <x:c r="O38" s="26" t="str">
        <x:v>complete</x:v>
      </x:c>
      <x:c r="P38" s="26" t="str">
        <x:v>accept</x:v>
      </x:c>
      <x:c r="Q38" s="27"/>
      <x:c r="R38" s="27"/>
      <x:c r="S38" s="27"/>
      <x:c r="T38" s="27"/>
    </x:row>
    <x:row r="39" ht="48" customHeight="1">
      <x:c r="A39" s="14" t="str">
        <x:v>D034</x:v>
      </x:c>
      <x:c r="B39" s="14" t="str">
        <x:v>F101</x:v>
      </x:c>
      <x:c r="C39" s="14" t="str">
        <x:v>K6 — Culinary History, Heritage &amp; Cultural Context</x:v>
      </x:c>
      <x:c r="D39" s="14" t="str">
        <x:v>General/Heritage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8" t="str">
        <x:v>https://kulturportali.gov.tr/portal/geleneksel-lezzetler--7-ozel-gun-yemegi</x:v>
      </x:c>
      <x:c r="I39" s="14" t="str">
        <x:v>L0</x:v>
      </x:c>
      <x:c r="J39" s="14" t="str">
        <x:v>low</x:v>
      </x:c>
      <x:c r="K39" s="14" t="str">
        <x:v>standard</x:v>
      </x:c>
      <x:c r="L39" s="26" t="str">
        <x:v>sufficient</x:v>
      </x:c>
      <x:c r="M39" s="26"/>
      <x:c r="N39" s="26" t="str">
        <x:v>correct</x:v>
      </x:c>
      <x:c r="O39" s="26" t="str">
        <x:v>complete</x:v>
      </x:c>
      <x:c r="P39" s="26" t="str">
        <x:v>accept</x:v>
      </x:c>
      <x:c r="Q39" s="27"/>
      <x:c r="R39" s="27"/>
      <x:c r="S39" s="27"/>
      <x:c r="T39" s="27"/>
    </x:row>
    <x:row r="40" ht="48" customHeight="1">
      <x:c r="A40" s="14" t="str">
        <x:v>D035</x:v>
      </x:c>
      <x:c r="B40" s="14" t="str">
        <x:v>F010</x:v>
      </x:c>
      <x:c r="C40" s="14" t="str">
        <x:v>K4 — Geographical Indications &amp; Product Specifications</x:v>
      </x:c>
      <x:c r="D40" s="14" t="str">
        <x:v>Technical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8" t="str">
        <x:v>https://ci.turkpatent.gov.tr/Files/GeographicalSigns/8eb202f7-bf82-48cd-9f21-955bc921c665.pdf</x:v>
      </x:c>
      <x:c r="I40" s="14" t="str">
        <x:v>L1</x:v>
      </x:c>
      <x:c r="J40" s="14" t="str">
        <x:v>low</x:v>
      </x:c>
      <x:c r="K40" s="14" t="str">
        <x:v>standard</x:v>
      </x:c>
      <x:c r="L40" s="26" t="str">
        <x:v>sufficient</x:v>
      </x:c>
      <x:c r="M40" s="26" t="str">
        <x:v>clear</x:v>
      </x:c>
      <x:c r="N40" s="26" t="str">
        <x:v>correct</x:v>
      </x:c>
      <x:c r="O40" s="26" t="str">
        <x:v>complete</x:v>
      </x:c>
      <x:c r="P40" s="26" t="str">
        <x:v>accept</x:v>
      </x:c>
      <x:c r="Q40" s="27"/>
      <x:c r="R40" s="27"/>
      <x:c r="S40" s="27"/>
      <x:c r="T40" s="27"/>
    </x:row>
    <x:row r="41" ht="48" customHeight="1">
      <x:c r="A41" s="14" t="str">
        <x:v>D036</x:v>
      </x:c>
      <x:c r="B41" s="14" t="str">
        <x:v>F088</x:v>
      </x:c>
      <x:c r="C41" s="14" t="str">
        <x:v>K3 — Preparation &amp; Cooking Techniques</x:v>
      </x:c>
      <x:c r="D41" s="14" t="str">
        <x:v>Local/Heritage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8" t="str">
        <x:v>https://ich.unesco.org/en/RL/ceremonial-keskek-tradition-00388</x:v>
      </x:c>
      <x:c r="I41" s="14" t="str">
        <x:v>L0</x:v>
      </x:c>
      <x:c r="J41" s="14" t="str">
        <x:v>medium</x:v>
      </x:c>
      <x:c r="K41" s="14" t="str">
        <x:v>enhanced</x:v>
      </x:c>
      <x:c r="L41" s="26" t="str">
        <x:v>sufficient</x:v>
      </x:c>
      <x:c r="M41" s="26" t="str">
        <x:v>clear</x:v>
      </x:c>
      <x:c r="N41" s="26" t="str">
        <x:v>correct</x:v>
      </x:c>
      <x:c r="O41" s="26" t="str">
        <x:v>complete</x:v>
      </x:c>
      <x:c r="P41" s="26" t="str">
        <x:v>accept</x:v>
      </x:c>
      <x:c r="Q41" s="27"/>
      <x:c r="R41" s="27"/>
      <x:c r="S41" s="27"/>
      <x:c r="T41" s="27" t="str">
        <x:v>Confirm two-endpoint numeric-range scoring.</x:v>
      </x:c>
    </x:row>
  </x:sheetData>
  <x:mergeCells>
    <x:mergeCell ref="A1:T1"/>
  </x:mergeCells>
  <x:dataValidations count="5">
    <x:dataValidation type="list" sqref="L6:L41">
      <x:formula1>"sufficient,insufficient,unclear"</x:formula1>
    </x:dataValidation>
    <x:dataValidation type="list" sqref="M6:M41">
      <x:formula1>"clear,minor_revision,major_revision"</x:formula1>
    </x:dataValidation>
    <x:dataValidation type="list" sqref="N6:N41">
      <x:formula1>"correct,revise,incorrect"</x:formula1>
    </x:dataValidation>
    <x:dataValidation type="list" sqref="O6:O41">
      <x:formula1>"complete,add,remove,unclear"</x:formula1>
    </x:dataValidation>
    <x:dataValidation type="list" sqref="P6:P41">
      <x:formula1>"accept,revise,exclude"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41250d52f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9.75" hidden="0" customWidth="1"/>
    <x:col min="3" max="3" width="25.6299991607666" hidden="0" customWidth="1"/>
    <x:col min="4" max="4" width="13.75" hidden="0" customWidth="1"/>
    <x:col min="5" max="5" width="38.75" hidden="0" customWidth="1"/>
    <x:col min="6" max="6" width="18.1299991607666" hidden="0" customWidth="1"/>
    <x:col min="7" max="7" width="34.380001068115234" hidden="0" customWidth="1"/>
    <x:col min="8" max="8" width="34.380001068115234" hidden="0" customWidth="1"/>
    <x:col min="9" max="9" width="10.630000114440918" hidden="0" customWidth="1"/>
    <x:col min="10" max="10" width="11.25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5.630000114440918" hidden="0" customWidth="1"/>
    <x:col min="16" max="16" width="15" hidden="0" customWidth="1"/>
    <x:col min="17" max="17" width="35" hidden="0" customWidth="1"/>
    <x:col min="18" max="18" width="18.75" hidden="0" customWidth="1"/>
    <x:col min="19" max="19" width="34.380001068115234" hidden="0" customWidth="1"/>
    <x:col min="20" max="20" width="37.5" hidden="0" customWidth="1"/>
  </x:cols>
  <x:sheetData>
    <x:row r="1" ht="28.5" customHeight="1">
      <x:c r="A1" s="3" t="str">
        <x:v>TurkCuisineBench-Dev — Reviewer B</x:v>
      </x:c>
      <x:c r="B1" s="3" t="str">
        <x:v>TurkCuisineBench-Dev — Reviewer B</x:v>
      </x:c>
      <x:c r="C1" s="3" t="str">
        <x:v>TurkCuisineBench-Dev — Reviewer B</x:v>
      </x:c>
      <x:c r="D1" s="3" t="str">
        <x:v>TurkCuisineBench-Dev — Reviewer B</x:v>
      </x:c>
      <x:c r="E1" s="3" t="str">
        <x:v>TurkCuisineBench-Dev — Reviewer B</x:v>
      </x:c>
      <x:c r="F1" s="3" t="str">
        <x:v>TurkCuisineBench-Dev — Reviewer B</x:v>
      </x:c>
      <x:c r="G1" s="3" t="str">
        <x:v>TurkCuisineBench-Dev — Reviewer B</x:v>
      </x:c>
      <x:c r="H1" s="3" t="str">
        <x:v>TurkCuisineBench-Dev — Reviewer B</x:v>
      </x:c>
      <x:c r="I1" s="3" t="str">
        <x:v>TurkCuisineBench-Dev — Reviewer B</x:v>
      </x:c>
      <x:c r="J1" s="3" t="str">
        <x:v>TurkCuisineBench-Dev — Reviewer B</x:v>
      </x:c>
      <x:c r="K1" s="3" t="str">
        <x:v>TurkCuisineBench-Dev — Reviewer B</x:v>
      </x:c>
      <x:c r="L1" s="3" t="str">
        <x:v>TurkCuisineBench-Dev — Reviewer B</x:v>
      </x:c>
      <x:c r="M1" s="3" t="str">
        <x:v>TurkCuisineBench-Dev — Reviewer B</x:v>
      </x:c>
      <x:c r="N1" s="3" t="str">
        <x:v>TurkCuisineBench-Dev — Reviewer B</x:v>
      </x:c>
      <x:c r="O1" s="3" t="str">
        <x:v>TurkCuisineBench-Dev — Reviewer B</x:v>
      </x:c>
      <x:c r="P1" s="3" t="str">
        <x:v>TurkCuisineBench-Dev — Reviewer B</x:v>
      </x:c>
      <x:c r="Q1" s="3" t="str">
        <x:v>TurkCuisineBench-Dev — Reviewer B</x:v>
      </x:c>
      <x:c r="R1" s="3" t="str">
        <x:v>TurkCuisineBench-Dev — Reviewer B</x:v>
      </x:c>
      <x:c r="S1" s="3" t="str">
        <x:v>TurkCuisineBench-Dev — Reviewer B</x:v>
      </x:c>
      <x:c r="T1" s="3" t="str">
        <x:v>TurkCuisineBench-Dev — Reviewer B</x:v>
      </x:c>
    </x:row>
    <x:row r="2">
      <x:c r="A2" s="5" t="str">
        <x:v>reviewer_code</x:v>
      </x:c>
      <x:c r="B2" t="n">
        <x:v>2</x:v>
      </x:c>
      <x:c r="C2" s="5" t="str">
        <x:v>review_date</x:v>
      </x:c>
      <x:c r="D2" t="str">
        <x:v>25.08.2026</x:v>
      </x:c>
      <x:c r="E2" s="5" t="str">
        <x:v>review_version</x:v>
      </x:c>
      <x:c r="F2" t="str">
        <x:v>v0.2</x:v>
      </x:c>
    </x:row>
    <x:row r="3">
      <x:c r="A3" s="5" t="str">
        <x:v>instruction</x:v>
      </x:c>
      <x:c r="B3" t="str">
        <x:v>Open each official source and complete all decision fields independently.</x:v>
      </x:c>
      <x:c r="C3" s="5" t="str">
        <x:v>blind_to_other_reviewer</x:v>
      </x:c>
      <x:c r="D3" t="str">
        <x:v>yes</x:v>
      </x:c>
      <x:c r="E3" s="5" t="str">
        <x:v>item_count</x:v>
      </x:c>
      <x:c r="F3" t="n">
        <x:v>36</x:v>
      </x:c>
    </x:row>
    <x:row r="5" ht="39" customHeight="1">
      <x:c r="A5" s="22" t="str">
        <x:v>item_id</x:v>
      </x:c>
      <x:c r="B5" s="22" t="str">
        <x:v>source_fact_id</x:v>
      </x:c>
      <x:c r="C5" s="22" t="str">
        <x:v>knowledge_domain</x:v>
      </x:c>
      <x:c r="D5" s="22" t="str">
        <x:v>knowledge_specificity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source_url</x:v>
      </x:c>
      <x:c r="I5" s="22" t="str">
        <x:v>lexical_leakage</x:v>
      </x:c>
      <x:c r="J5" s="22" t="str">
        <x:v>ambiguity_risk</x:v>
      </x:c>
      <x:c r="K5" s="22" t="str">
        <x:v>review_route</x:v>
      </x:c>
      <x:c r="L5" s="22" t="str">
        <x:v>source_support</x:v>
      </x:c>
      <x:c r="M5" s="22" t="str">
        <x:v>question_clarity</x:v>
      </x:c>
      <x:c r="N5" s="22" t="str">
        <x:v>gold_correctness</x:v>
      </x:c>
      <x:c r="O5" s="22" t="str">
        <x:v>accepted_completeness</x:v>
      </x:c>
      <x:c r="P5" s="22" t="str">
        <x:v>recommended_action</x:v>
      </x:c>
      <x:c r="Q5" s="22" t="str">
        <x:v>proposed_question</x:v>
      </x:c>
      <x:c r="R5" s="22" t="str">
        <x:v>proposed_gold</x:v>
      </x:c>
      <x:c r="S5" s="22" t="str">
        <x:v>proposed_accepted_answers</x:v>
      </x:c>
      <x:c r="T5" s="22" t="str">
        <x:v>reviewer_comments</x:v>
      </x:c>
    </x:row>
    <x:row r="6" ht="48" customHeight="1">
      <x:c r="A6" s="14" t="str">
        <x:v>D001</x:v>
      </x:c>
      <x:c r="B6" s="14" t="str">
        <x:v>F014</x:v>
      </x:c>
      <x:c r="C6" s="14" t="str">
        <x:v>K3 — Preparation &amp; Cooking Techniques</x:v>
      </x:c>
      <x:c r="D6" s="14" t="str">
        <x:v>Technical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8" t="str">
        <x:v>https://ci.turkpatent.gov.tr/Files/GeographicalSigns/493a7cc8-b7da-4f95-bf8c-f82617bc990a.pdf</x:v>
      </x:c>
      <x:c r="I6" s="14" t="str">
        <x:v>L0</x:v>
      </x:c>
      <x:c r="J6" s="14" t="str">
        <x:v>low</x:v>
      </x:c>
      <x:c r="K6" s="14" t="str">
        <x:v>standard</x:v>
      </x:c>
      <x:c r="L6" s="26" t="str">
        <x:v>sufficient</x:v>
      </x:c>
      <x:c r="M6" s="26" t="str">
        <x:v>clear</x:v>
      </x:c>
      <x:c r="N6" s="26" t="str">
        <x:v>correct</x:v>
      </x:c>
      <x:c r="O6" s="26" t="str">
        <x:v>complete</x:v>
      </x:c>
      <x:c r="P6" s="26" t="str">
        <x:v>accept</x:v>
      </x:c>
      <x:c r="Q6" s="27"/>
      <x:c r="R6" s="27"/>
      <x:c r="S6" s="27"/>
      <x:c r="T6" s="27"/>
    </x:row>
    <x:row r="7" ht="48" customHeight="1">
      <x:c r="A7" s="14" t="str">
        <x:v>D002</x:v>
      </x:c>
      <x:c r="B7" s="14" t="str">
        <x:v>F017</x:v>
      </x:c>
      <x:c r="C7" s="14" t="str">
        <x:v>K3 — Preparation &amp; Cooking Techniques</x:v>
      </x:c>
      <x:c r="D7" s="14" t="str">
        <x:v>Local/Technical</x:v>
      </x:c>
      <x:c r="E7" s="14" t="str">
        <x:v>Maraş Tarhanasının kurutulmak üzere serildiği geleneksel sergiye ne ad verilir?</x:v>
      </x:c>
      <x:c r="F7" s="14" t="str">
        <x:v>Çığ</x:v>
      </x:c>
      <x:c r="G7" s="14" t="str">
        <x:v>çığ</x:v>
      </x:c>
      <x:c r="H7" s="28" t="str">
        <x:v>https://ci.turkpatent.gov.tr/Files/GeographicalSigns/8c3d053b-bb27-4305-a46f-398c181d189e.pdf</x:v>
      </x:c>
      <x:c r="I7" s="14" t="str">
        <x:v>L0</x:v>
      </x:c>
      <x:c r="J7" s="14" t="str">
        <x:v>low</x:v>
      </x:c>
      <x:c r="K7" s="14" t="str">
        <x:v>standard</x:v>
      </x:c>
      <x:c r="L7" s="26" t="str">
        <x:v>sufficient</x:v>
      </x:c>
      <x:c r="M7" s="26" t="str">
        <x:v>minor_revision</x:v>
      </x:c>
      <x:c r="N7" s="26" t="str">
        <x:v>correct</x:v>
      </x:c>
      <x:c r="O7" s="26" t="str">
        <x:v>complete</x:v>
      </x:c>
      <x:c r="P7" s="26" t="str">
        <x:v>revise</x:v>
      </x:c>
      <x:c r="Q7" s="27"/>
      <x:c r="R7" s="27"/>
      <x:c r="S7" s="27"/>
      <x:c r="T7" s="27"/>
    </x:row>
    <x:row r="8" ht="48" customHeight="1">
      <x:c r="A8" s="14" t="str">
        <x:v>D003</x:v>
      </x:c>
      <x:c r="B8" s="14" t="str">
        <x:v>F019</x:v>
      </x:c>
      <x:c r="C8" s="14" t="str">
        <x:v>K3 — Preparation &amp; Cooking Techniques</x:v>
      </x:c>
      <x:c r="D8" s="14" t="str">
        <x:v>General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8" t="str">
        <x:v>https://ich.unesco.org/en/RL/turkish-coffee-culture-and-tradition-00645</x:v>
      </x:c>
      <x:c r="I8" s="14" t="str">
        <x:v>L0</x:v>
      </x:c>
      <x:c r="J8" s="14" t="str">
        <x:v>low</x:v>
      </x:c>
      <x:c r="K8" s="14" t="str">
        <x:v>standard</x:v>
      </x:c>
      <x:c r="L8" s="26" t="str">
        <x:v>sufficient</x:v>
      </x:c>
      <x:c r="M8" s="26" t="str">
        <x:v>clear</x:v>
      </x:c>
      <x:c r="N8" s="26" t="str">
        <x:v>correct</x:v>
      </x:c>
      <x:c r="O8" s="26" t="str">
        <x:v>complete</x:v>
      </x:c>
      <x:c r="P8" s="26" t="str">
        <x:v>accept</x:v>
      </x:c>
      <x:c r="Q8" s="27"/>
      <x:c r="R8" s="27"/>
      <x:c r="S8" s="27"/>
      <x:c r="T8" s="27"/>
    </x:row>
    <x:row r="9" ht="48" customHeight="1">
      <x:c r="A9" s="14" t="str">
        <x:v>D004</x:v>
      </x:c>
      <x:c r="B9" s="14" t="str">
        <x:v>F028</x:v>
      </x:c>
      <x:c r="C9" s="14" t="str">
        <x:v>K5 — Culinary Terminology &amp; Traditional Practices</x:v>
      </x:c>
      <x:c r="D9" s="14" t="str">
        <x:v>General/Heritage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8" t="str">
        <x:v>https://ich.unesco.org/en/RL/turkish-coffee-culture-and-tradition-00645</x:v>
      </x:c>
      <x:c r="I9" s="14" t="str">
        <x:v>L0</x:v>
      </x:c>
      <x:c r="J9" s="14" t="str">
        <x:v>low</x:v>
      </x:c>
      <x:c r="K9" s="14" t="str">
        <x:v>standard</x:v>
      </x:c>
      <x:c r="L9" s="26" t="str">
        <x:v>sufficient</x:v>
      </x:c>
      <x:c r="M9" s="26" t="str">
        <x:v>clear</x:v>
      </x:c>
      <x:c r="N9" s="26" t="str">
        <x:v>correct</x:v>
      </x:c>
      <x:c r="O9" s="26" t="str">
        <x:v>complete</x:v>
      </x:c>
      <x:c r="P9" s="26" t="str">
        <x:v>accept</x:v>
      </x:c>
      <x:c r="Q9" s="27"/>
      <x:c r="R9" s="27"/>
      <x:c r="S9" s="27"/>
      <x:c r="T9" s="27"/>
    </x:row>
    <x:row r="10" ht="48" customHeight="1">
      <x:c r="A10" s="14" t="str">
        <x:v>D005</x:v>
      </x:c>
      <x:c r="B10" s="14" t="str">
        <x:v>F056</x:v>
      </x:c>
      <x:c r="C10" s="14" t="str">
        <x:v>K2 — Ingredients &amp; Composition</x:v>
      </x:c>
      <x:c r="D10" s="14" t="str">
        <x:v>Regional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8" t="str">
        <x:v>https://ci.turkpatent.gov.tr/Files/GeographicalSigns/315.pdf</x:v>
      </x:c>
      <x:c r="I10" s="14" t="str">
        <x:v>L0</x:v>
      </x:c>
      <x:c r="J10" s="14" t="str">
        <x:v>low</x:v>
      </x:c>
      <x:c r="K10" s="14" t="str">
        <x:v>standard</x:v>
      </x:c>
      <x:c r="L10" s="26" t="str">
        <x:v>sufficient</x:v>
      </x:c>
      <x:c r="M10" s="26" t="str">
        <x:v>clear</x:v>
      </x:c>
      <x:c r="N10" s="26" t="str">
        <x:v>correct</x:v>
      </x:c>
      <x:c r="O10" s="26" t="str">
        <x:v>complete</x:v>
      </x:c>
      <x:c r="P10" s="26" t="str">
        <x:v>accept</x:v>
      </x:c>
      <x:c r="Q10" s="27"/>
      <x:c r="R10" s="27"/>
      <x:c r="S10" s="27"/>
      <x:c r="T10" s="27"/>
    </x:row>
    <x:row r="11" ht="48" customHeight="1">
      <x:c r="A11" s="14" t="str">
        <x:v>D006</x:v>
      </x:c>
      <x:c r="B11" s="14" t="str">
        <x:v>F060</x:v>
      </x:c>
      <x:c r="C11" s="14" t="str">
        <x:v>K3 — Preparation &amp; Cooking Techniques</x:v>
      </x:c>
      <x:c r="D11" s="14" t="str">
        <x:v>Local/Technical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8" t="str">
        <x:v>https://ci.turkpatent.gov.tr/Files/GeographicalSigns/226.pdf</x:v>
      </x:c>
      <x:c r="I11" s="14" t="str">
        <x:v>L0</x:v>
      </x:c>
      <x:c r="J11" s="14" t="str">
        <x:v>low</x:v>
      </x:c>
      <x:c r="K11" s="14" t="str">
        <x:v>standard</x:v>
      </x:c>
      <x:c r="L11" s="26" t="str">
        <x:v>sufficient</x:v>
      </x:c>
      <x:c r="M11" s="26" t="str">
        <x:v>clear</x:v>
      </x:c>
      <x:c r="N11" s="26" t="str">
        <x:v>correct</x:v>
      </x:c>
      <x:c r="O11" s="26" t="str">
        <x:v>complete</x:v>
      </x:c>
      <x:c r="P11" s="26" t="str">
        <x:v>accept</x:v>
      </x:c>
      <x:c r="Q11" s="27"/>
      <x:c r="R11" s="27"/>
      <x:c r="S11" s="27"/>
      <x:c r="T11" s="27"/>
    </x:row>
    <x:row r="12" ht="48" customHeight="1">
      <x:c r="A12" s="14" t="str">
        <x:v>D007</x:v>
      </x:c>
      <x:c r="B12" s="14" t="str">
        <x:v>F065</x:v>
      </x:c>
      <x:c r="C12" s="14" t="str">
        <x:v>K2 — Ingredients &amp; Composition</x:v>
      </x:c>
      <x:c r="D12" s="14" t="str">
        <x:v>Local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8" t="str">
        <x:v>https://ci.turkpatent.gov.tr/Files/GeographicalSigns/5212ffda-73e7-4b2a-955b-49d1d24c8dd8.pdf</x:v>
      </x:c>
      <x:c r="I12" s="14" t="str">
        <x:v>L0</x:v>
      </x:c>
      <x:c r="J12" s="14" t="str">
        <x:v>low</x:v>
      </x:c>
      <x:c r="K12" s="14" t="str">
        <x:v>standard</x:v>
      </x:c>
      <x:c r="L12" s="26" t="str">
        <x:v>sufficient</x:v>
      </x:c>
      <x:c r="M12" s="26" t="str">
        <x:v>clear</x:v>
      </x:c>
      <x:c r="N12" s="26" t="str">
        <x:v>correct</x:v>
      </x:c>
      <x:c r="O12" s="26" t="str">
        <x:v>complete</x:v>
      </x:c>
      <x:c r="P12" s="26" t="str">
        <x:v>accept</x:v>
      </x:c>
      <x:c r="Q12" s="27"/>
      <x:c r="R12" s="27"/>
      <x:c r="S12" s="27"/>
      <x:c r="T12" s="27"/>
    </x:row>
    <x:row r="13" ht="48" customHeight="1">
      <x:c r="A13" s="14" t="str">
        <x:v>D008</x:v>
      </x:c>
      <x:c r="B13" s="14" t="str">
        <x:v>F068</x:v>
      </x:c>
      <x:c r="C13" s="14" t="str">
        <x:v>K2 — Ingredients &amp; Composition</x:v>
      </x:c>
      <x:c r="D13" s="14" t="str">
        <x:v>Local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8" t="str">
        <x:v>https://ci.turkpatent.gov.tr/Files/GeographicalSigns/ffe64b55-cc1a-4e1f-90ff-1f9a90128a25.pdf</x:v>
      </x:c>
      <x:c r="I13" s="14" t="str">
        <x:v>L0</x:v>
      </x:c>
      <x:c r="J13" s="14" t="str">
        <x:v>low</x:v>
      </x:c>
      <x:c r="K13" s="14" t="str">
        <x:v>standard</x:v>
      </x:c>
      <x:c r="L13" s="26" t="str">
        <x:v>sufficient</x:v>
      </x:c>
      <x:c r="M13" s="26" t="str">
        <x:v>clear</x:v>
      </x:c>
      <x:c r="N13" s="26" t="str">
        <x:v>correct</x:v>
      </x:c>
      <x:c r="O13" s="26" t="str">
        <x:v>complete</x:v>
      </x:c>
      <x:c r="P13" s="26" t="str">
        <x:v>accept</x:v>
      </x:c>
      <x:c r="Q13" s="27"/>
      <x:c r="R13" s="27"/>
      <x:c r="S13" s="27"/>
      <x:c r="T13" s="27"/>
    </x:row>
    <x:row r="14" ht="48" customHeight="1">
      <x:c r="A14" s="14" t="str">
        <x:v>D009</x:v>
      </x:c>
      <x:c r="B14" s="14" t="str">
        <x:v>F009</x:v>
      </x:c>
      <x:c r="C14" s="14" t="str">
        <x:v>K2 — Ingredients &amp; Composition</x:v>
      </x:c>
      <x:c r="D14" s="14" t="str">
        <x:v>Regional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8" t="str">
        <x:v>https://ci.turkpatent.gov.tr/Files/GeographicalSigns/8c3d053b-bb27-4305-a46f-398c181d189e.pdf</x:v>
      </x:c>
      <x:c r="I14" s="14" t="str">
        <x:v>L0</x:v>
      </x:c>
      <x:c r="J14" s="14" t="str">
        <x:v>medium</x:v>
      </x:c>
      <x:c r="K14" s="14" t="str">
        <x:v>enhanced</x:v>
      </x:c>
      <x:c r="L14" s="26" t="str">
        <x:v>sufficient</x:v>
      </x:c>
      <x:c r="M14" s="26" t="str">
        <x:v>clear</x:v>
      </x:c>
      <x:c r="N14" s="26" t="str">
        <x:v>correct</x:v>
      </x:c>
      <x:c r="O14" s="26" t="str">
        <x:v>complete</x:v>
      </x:c>
      <x:c r="P14" s="26" t="str">
        <x:v>accept</x:v>
      </x:c>
      <x:c r="Q14" s="27"/>
      <x:c r="R14" s="27"/>
      <x:c r="S14" s="27"/>
      <x:c r="T14" s="27" t="str">
        <x:v>Confirm that both answer components are mandatory.</x:v>
      </x:c>
    </x:row>
    <x:row r="15" ht="48" customHeight="1">
      <x:c r="A15" s="14" t="str">
        <x:v>D010</x:v>
      </x:c>
      <x:c r="B15" s="14" t="str">
        <x:v>F031</x:v>
      </x:c>
      <x:c r="C15" s="14" t="str">
        <x:v>K5 — Culinary Terminology &amp; Traditional Practices</x:v>
      </x:c>
      <x:c r="D15" s="14" t="str">
        <x:v>General/Heritage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8" t="str">
        <x:v>https://ich.unesco.org/en/RL/culture-of-cay-tea-a-symbol-of-identity-hospitality-and-social-interaction-01685</x:v>
      </x:c>
      <x:c r="I15" s="14" t="str">
        <x:v>L0</x:v>
      </x:c>
      <x:c r="J15" s="14" t="str">
        <x:v>medium</x:v>
      </x:c>
      <x:c r="K15" s="14" t="str">
        <x:v>enhanced</x:v>
      </x:c>
      <x:c r="L15" s="26" t="str">
        <x:v>sufficient</x:v>
      </x:c>
      <x:c r="M15" s="26" t="str">
        <x:v>clear</x:v>
      </x:c>
      <x:c r="N15" s="26" t="str">
        <x:v>correct</x:v>
      </x:c>
      <x:c r="O15" s="26" t="str">
        <x:v>complete</x:v>
      </x:c>
      <x:c r="P15" s="26" t="str">
        <x:v>accept</x:v>
      </x:c>
      <x:c r="Q15" s="27"/>
      <x:c r="R15" s="27"/>
      <x:c r="S15" s="27"/>
      <x:c r="T15" s="27" t="str">
        <x:v>Decide whether 'ince belli bardak' should be accepted.</x:v>
      </x:c>
    </x:row>
    <x:row r="16" ht="48" customHeight="1">
      <x:c r="A16" s="14" t="str">
        <x:v>D011</x:v>
      </x:c>
      <x:c r="B16" s="14" t="str">
        <x:v>F083</x:v>
      </x:c>
      <x:c r="C16" s="14" t="str">
        <x:v>K5 — Culinary Terminology &amp; Traditional Practices</x:v>
      </x:c>
      <x:c r="D16" s="14" t="str">
        <x:v>Regional/Heritage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8" t="str">
        <x:v>https://ich.unesco.org/en/RL/flatbread-making-and-sharing-culture-lavash-katyrma-jupka-yufka-01181</x:v>
      </x:c>
      <x:c r="I16" s="14" t="str">
        <x:v>L0</x:v>
      </x:c>
      <x:c r="J16" s="14" t="str">
        <x:v>low</x:v>
      </x:c>
      <x:c r="K16" s="14" t="str">
        <x:v>standard</x:v>
      </x:c>
      <x:c r="L16" s="26" t="str">
        <x:v>sufficient</x:v>
      </x:c>
      <x:c r="M16" s="26" t="str">
        <x:v>clear</x:v>
      </x:c>
      <x:c r="N16" s="26" t="str">
        <x:v>correct</x:v>
      </x:c>
      <x:c r="O16" s="26" t="str">
        <x:v>complete</x:v>
      </x:c>
      <x:c r="P16" s="26" t="str">
        <x:v>accept</x:v>
      </x:c>
      <x:c r="Q16" s="27"/>
      <x:c r="R16" s="27"/>
      <x:c r="S16" s="27"/>
      <x:c r="T16" s="27"/>
    </x:row>
    <x:row r="17" ht="48" customHeight="1">
      <x:c r="A17" s="14" t="str">
        <x:v>D012</x:v>
      </x:c>
      <x:c r="B17" s="14" t="str">
        <x:v>F087</x:v>
      </x:c>
      <x:c r="C17" s="14" t="str">
        <x:v>K5 — Culinary Terminology &amp; Traditional Practices</x:v>
      </x:c>
      <x:c r="D17" s="14" t="str">
        <x:v>Local/Heritage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8" t="str">
        <x:v>https://ich.unesco.org/en/RL/ceremonial-keskek-tradition-00388</x:v>
      </x:c>
      <x:c r="I17" s="14" t="str">
        <x:v>L0</x:v>
      </x:c>
      <x:c r="J17" s="14" t="str">
        <x:v>low</x:v>
      </x:c>
      <x:c r="K17" s="14" t="str">
        <x:v>standard</x:v>
      </x:c>
      <x:c r="L17" s="26" t="str">
        <x:v>sufficient</x:v>
      </x:c>
      <x:c r="M17" s="26" t="str">
        <x:v>clear</x:v>
      </x:c>
      <x:c r="N17" s="26" t="str">
        <x:v>correct</x:v>
      </x:c>
      <x:c r="O17" s="26" t="str">
        <x:v>complete</x:v>
      </x:c>
      <x:c r="P17" s="26" t="str">
        <x:v>accept</x:v>
      </x:c>
      <x:c r="Q17" s="27"/>
      <x:c r="R17" s="27"/>
      <x:c r="S17" s="27"/>
      <x:c r="T17" s="27"/>
    </x:row>
    <x:row r="18" ht="48" customHeight="1">
      <x:c r="A18" s="14" t="str">
        <x:v>D013</x:v>
      </x:c>
      <x:c r="B18" s="14" t="str">
        <x:v>F100</x:v>
      </x:c>
      <x:c r="C18" s="14" t="str">
        <x:v>K6 — Culinary History, Heritage &amp; Cultural Context</x:v>
      </x:c>
      <x:c r="D18" s="14" t="str">
        <x:v>General/Heritage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8" t="str">
        <x:v>https://kulturportali.gov.tr/portal/geleneksel-lezzetler--7-ozel-gun-yemegi</x:v>
      </x:c>
      <x:c r="I18" s="14" t="str">
        <x:v>L0</x:v>
      </x:c>
      <x:c r="J18" s="14" t="str">
        <x:v>low</x:v>
      </x:c>
      <x:c r="K18" s="14" t="str">
        <x:v>standard</x:v>
      </x:c>
      <x:c r="L18" s="26" t="str">
        <x:v>sufficient</x:v>
      </x:c>
      <x:c r="M18" s="26" t="str">
        <x:v>clear</x:v>
      </x:c>
      <x:c r="N18" s="26" t="str">
        <x:v>correct</x:v>
      </x:c>
      <x:c r="O18" s="26" t="str">
        <x:v>complete</x:v>
      </x:c>
      <x:c r="P18" s="26" t="str">
        <x:v>accept</x:v>
      </x:c>
      <x:c r="Q18" s="27"/>
      <x:c r="R18" s="27"/>
      <x:c r="S18" s="27"/>
      <x:c r="T18" s="27"/>
    </x:row>
    <x:row r="19" ht="48" customHeight="1">
      <x:c r="A19" s="14" t="str">
        <x:v>D014</x:v>
      </x:c>
      <x:c r="B19" s="14" t="str">
        <x:v>F112</x:v>
      </x:c>
      <x:c r="C19" s="14" t="str">
        <x:v>K6 — Culinary History, Heritage &amp; Cultural Context</x:v>
      </x:c>
      <x:c r="D19" s="14" t="str">
        <x:v>Local/Heritage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8" t="str">
        <x:v>https://www.kulturportali.gov.tr/turkiye/tekirdag/neyenir/herise-keskek</x:v>
      </x:c>
      <x:c r="I19" s="14" t="str">
        <x:v>L0</x:v>
      </x:c>
      <x:c r="J19" s="14" t="str">
        <x:v>low</x:v>
      </x:c>
      <x:c r="K19" s="14" t="str">
        <x:v>standard</x:v>
      </x:c>
      <x:c r="L19" s="26" t="str">
        <x:v>sufficient</x:v>
      </x:c>
      <x:c r="M19" s="26" t="str">
        <x:v>clear</x:v>
      </x:c>
      <x:c r="N19" s="26" t="str">
        <x:v>correct</x:v>
      </x:c>
      <x:c r="O19" s="26" t="str">
        <x:v>complete</x:v>
      </x:c>
      <x:c r="P19" s="26" t="str">
        <x:v>accept</x:v>
      </x:c>
      <x:c r="Q19" s="27"/>
      <x:c r="R19" s="27"/>
      <x:c r="S19" s="27"/>
      <x:c r="T19" s="27"/>
    </x:row>
    <x:row r="20" ht="48" customHeight="1">
      <x:c r="A20" s="14" t="str">
        <x:v>D015</x:v>
      </x:c>
      <x:c r="B20" s="14" t="str">
        <x:v>F059</x:v>
      </x:c>
      <x:c r="C20" s="14" t="str">
        <x:v>K5 — Culinary Terminology &amp; Traditional Practices</x:v>
      </x:c>
      <x:c r="D20" s="14" t="str">
        <x:v>Local/Technical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8" t="str">
        <x:v>https://ci.turkpatent.gov.tr/Files/GeographicalSigns/226.pdf</x:v>
      </x:c>
      <x:c r="I20" s="14" t="str">
        <x:v>L0</x:v>
      </x:c>
      <x:c r="J20" s="14" t="str">
        <x:v>low</x:v>
      </x:c>
      <x:c r="K20" s="14" t="str">
        <x:v>standard</x:v>
      </x:c>
      <x:c r="L20" s="26" t="str">
        <x:v>sufficient</x:v>
      </x:c>
      <x:c r="M20" s="26" t="str">
        <x:v>clear</x:v>
      </x:c>
      <x:c r="N20" s="26" t="str">
        <x:v>correct</x:v>
      </x:c>
      <x:c r="O20" s="26" t="str">
        <x:v>complete</x:v>
      </x:c>
      <x:c r="P20" s="26" t="str">
        <x:v>accept</x:v>
      </x:c>
      <x:c r="Q20" s="27"/>
      <x:c r="R20" s="27"/>
      <x:c r="S20" s="27"/>
      <x:c r="T20" s="27"/>
    </x:row>
    <x:row r="21" ht="48" customHeight="1">
      <x:c r="A21" s="14" t="str">
        <x:v>D016</x:v>
      </x:c>
      <x:c r="B21" s="14" t="str">
        <x:v>F102</x:v>
      </x:c>
      <x:c r="C21" s="14" t="str">
        <x:v>K5 — Culinary Terminology &amp; Traditional Practices</x:v>
      </x:c>
      <x:c r="D21" s="14" t="str">
        <x:v>Local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8" t="str">
        <x:v>https://kulturportali.gov.tr/turkiye/izmir/neyenir/lokma-zmir-lokmasi</x:v>
      </x:c>
      <x:c r="I21" s="14" t="str">
        <x:v>L0</x:v>
      </x:c>
      <x:c r="J21" s="14" t="str">
        <x:v>low</x:v>
      </x:c>
      <x:c r="K21" s="14" t="str">
        <x:v>standard</x:v>
      </x:c>
      <x:c r="L21" s="26" t="str">
        <x:v>sufficient</x:v>
      </x:c>
      <x:c r="M21" s="26" t="str">
        <x:v>clear</x:v>
      </x:c>
      <x:c r="N21" s="26" t="str">
        <x:v>correct</x:v>
      </x:c>
      <x:c r="O21" s="26" t="str">
        <x:v>complete</x:v>
      </x:c>
      <x:c r="P21" s="26" t="str">
        <x:v>accept</x:v>
      </x:c>
      <x:c r="Q21" s="27"/>
      <x:c r="R21" s="27"/>
      <x:c r="S21" s="27"/>
      <x:c r="T21" s="27"/>
    </x:row>
    <x:row r="22" ht="48" customHeight="1">
      <x:c r="A22" s="14" t="str">
        <x:v>D017</x:v>
      </x:c>
      <x:c r="B22" s="14" t="str">
        <x:v>F104</x:v>
      </x:c>
      <x:c r="C22" s="14" t="str">
        <x:v>K5 — Culinary Terminology &amp; Traditional Practices</x:v>
      </x:c>
      <x:c r="D22" s="14" t="str">
        <x:v>Local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8" t="str">
        <x:v>https://www.kulturportali.gov.tr/turkiye/izmir/neyenir/cop-ss</x:v>
      </x:c>
      <x:c r="I22" s="14" t="str">
        <x:v>L0</x:v>
      </x:c>
      <x:c r="J22" s="14" t="str">
        <x:v>medium</x:v>
      </x:c>
      <x:c r="K22" s="14" t="str">
        <x:v>enhanced</x:v>
      </x:c>
      <x:c r="L22" s="26" t="str">
        <x:v>sufficient</x:v>
      </x:c>
      <x:c r="M22" s="26" t="str">
        <x:v>clear</x:v>
      </x:c>
      <x:c r="N22" s="26" t="str">
        <x:v>correct</x:v>
      </x:c>
      <x:c r="O22" s="26" t="str">
        <x:v>complete</x:v>
      </x:c>
      <x:c r="P22" s="26" t="str">
        <x:v>accept</x:v>
      </x:c>
      <x:c r="Q22" s="27"/>
      <x:c r="R22" s="27"/>
      <x:c r="S22" s="27"/>
      <x:c r="T22" s="27" t="str">
        <x:v>Verify equivalence of the two local terms.</x:v>
      </x:c>
    </x:row>
    <x:row r="23" ht="48" customHeight="1">
      <x:c r="A23" s="14" t="str">
        <x:v>D018</x:v>
      </x:c>
      <x:c r="B23" s="14" t="str">
        <x:v>F106</x:v>
      </x:c>
      <x:c r="C23" s="14" t="str">
        <x:v>K5 — Culinary Terminology &amp; Traditional Practices</x:v>
      </x:c>
      <x:c r="D23" s="14" t="str">
        <x:v>Local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8" t="str">
        <x:v>https://kulturportali.gov.tr/turkiye/izmir/neyenir/cbez-cibes-salatasi</x:v>
      </x:c>
      <x:c r="I23" s="14" t="str">
        <x:v>L1</x:v>
      </x:c>
      <x:c r="J23" s="14" t="str">
        <x:v>low</x:v>
      </x:c>
      <x:c r="K23" s="14" t="str">
        <x:v>standard</x:v>
      </x:c>
      <x:c r="L23" s="26" t="str">
        <x:v>sufficient</x:v>
      </x:c>
      <x:c r="M23" s="26" t="str">
        <x:v>clear</x:v>
      </x:c>
      <x:c r="N23" s="26" t="str">
        <x:v>correct</x:v>
      </x:c>
      <x:c r="O23" s="26" t="str">
        <x:v>complete</x:v>
      </x:c>
      <x:c r="P23" s="26" t="str">
        <x:v>accept</x:v>
      </x:c>
      <x:c r="Q23" s="27"/>
      <x:c r="R23" s="27"/>
      <x:c r="S23" s="27"/>
      <x:c r="T23" s="27"/>
    </x:row>
    <x:row r="24" ht="48" customHeight="1">
      <x:c r="A24" s="14" t="str">
        <x:v>D019</x:v>
      </x:c>
      <x:c r="B24" s="14" t="str">
        <x:v>F113</x:v>
      </x:c>
      <x:c r="C24" s="14" t="str">
        <x:v>K5 — Culinary Terminology &amp; Traditional Practices</x:v>
      </x:c>
      <x:c r="D24" s="14" t="str">
        <x:v>Local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8" t="str">
        <x:v>https://www.kulturportali.gov.tr/turkiye/edirne/neyenir/kacamak-2</x:v>
      </x:c>
      <x:c r="I24" s="14" t="str">
        <x:v>L1</x:v>
      </x:c>
      <x:c r="J24" s="14" t="str">
        <x:v>low</x:v>
      </x:c>
      <x:c r="K24" s="14" t="str">
        <x:v>standard</x:v>
      </x:c>
      <x:c r="L24" s="26" t="str">
        <x:v>sufficient</x:v>
      </x:c>
      <x:c r="M24" s="26" t="str">
        <x:v>clear</x:v>
      </x:c>
      <x:c r="N24" s="26" t="str">
        <x:v>correct</x:v>
      </x:c>
      <x:c r="O24" s="26" t="str">
        <x:v>complete</x:v>
      </x:c>
      <x:c r="P24" s="26" t="str">
        <x:v>accept</x:v>
      </x:c>
      <x:c r="Q24" s="27"/>
      <x:c r="R24" s="27"/>
      <x:c r="S24" s="27"/>
      <x:c r="T24" s="27"/>
    </x:row>
    <x:row r="25" ht="48" customHeight="1">
      <x:c r="A25" s="14" t="str">
        <x:v>D020</x:v>
      </x:c>
      <x:c r="B25" s="14" t="str">
        <x:v>F116</x:v>
      </x:c>
      <x:c r="C25" s="14" t="str">
        <x:v>K5 — Culinary Terminology &amp; Traditional Practices</x:v>
      </x:c>
      <x:c r="D25" s="14" t="str">
        <x:v>Local/Heritage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8" t="str">
        <x:v>https://www.kulturportali.gov.tr/turkiye/afyonkarahisar/kulturatlasi/sira-yemegi</x:v>
      </x:c>
      <x:c r="I25" s="14" t="str">
        <x:v>L0</x:v>
      </x:c>
      <x:c r="J25" s="14" t="str">
        <x:v>low</x:v>
      </x:c>
      <x:c r="K25" s="14" t="str">
        <x:v>standard</x:v>
      </x:c>
      <x:c r="L25" s="26" t="str">
        <x:v>sufficient</x:v>
      </x:c>
      <x:c r="M25" s="26" t="str">
        <x:v>clear</x:v>
      </x:c>
      <x:c r="N25" s="26" t="str">
        <x:v>correct</x:v>
      </x:c>
      <x:c r="O25" s="26" t="str">
        <x:v>complete</x:v>
      </x:c>
      <x:c r="P25" s="26" t="str">
        <x:v>accept</x:v>
      </x:c>
      <x:c r="Q25" s="27"/>
      <x:c r="R25" s="27"/>
      <x:c r="S25" s="27"/>
      <x:c r="T25" s="27"/>
    </x:row>
    <x:row r="26" ht="48" customHeight="1">
      <x:c r="A26" s="14" t="str">
        <x:v>D021</x:v>
      </x:c>
      <x:c r="B26" s="14" t="str">
        <x:v>F117</x:v>
      </x:c>
      <x:c r="C26" s="14" t="str">
        <x:v>K6 — Culinary History, Heritage &amp; Cultural Context</x:v>
      </x:c>
      <x:c r="D26" s="14" t="str">
        <x:v>Local/Heritage</x:v>
      </x:c>
      <x:c r="E26" s="14" t="str">
        <x:v>Afyonkarahisar'da nişan gecesinin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8" t="str">
        <x:v>https://www.kulturportali.gov.tr/turkiye/afyonkarahisar/kulturatlasi/sira-yemegi</x:v>
      </x:c>
      <x:c r="I26" s="14" t="str">
        <x:v>L0</x:v>
      </x:c>
      <x:c r="J26" s="14" t="str">
        <x:v>medium</x:v>
      </x:c>
      <x:c r="K26" s="14" t="str">
        <x:v>enhanced</x:v>
      </x:c>
      <x:c r="L26" s="26" t="str">
        <x:v>sufficient</x:v>
      </x:c>
      <x:c r="M26" s="26" t="str">
        <x:v>minor_revision</x:v>
      </x:c>
      <x:c r="N26" s="26" t="str">
        <x:v>correct</x:v>
      </x:c>
      <x:c r="O26" s="26" t="str">
        <x:v>complete</x:v>
      </x:c>
      <x:c r="P26" s="26" t="str">
        <x:v>accept</x:v>
      </x:c>
      <x:c r="Q26" s="27"/>
      <x:c r="R26" s="27"/>
      <x:c r="S26" s="27"/>
      <x:c r="T26" s="27" t="str">
        <x:v>Confirm zinardı / sini ardı spelling and short forms.</x:v>
      </x:c>
    </x:row>
    <x:row r="27" ht="48" customHeight="1">
      <x:c r="A27" s="14" t="str">
        <x:v>D022</x:v>
      </x:c>
      <x:c r="B27" s="14" t="str">
        <x:v>F118</x:v>
      </x:c>
      <x:c r="C27" s="14" t="str">
        <x:v>K5 — Culinary Terminology &amp; Traditional Practices</x:v>
      </x:c>
      <x:c r="D27" s="14" t="str">
        <x:v>Local/Technical</x:v>
      </x:c>
      <x:c r="E27" s="14" t="str">
        <x:v>Afyonkarahisar sıra yemeklerinde yemeklerin sofraya geliş sırasını düzenleme işine ne ad verilir?</x:v>
      </x:c>
      <x:c r="F27" s="14" t="str">
        <x:v>Yemek kurtarma</x:v>
      </x:c>
      <x:c r="G27" s="14" t="str">
        <x:v>yemek kurtarma</x:v>
      </x:c>
      <x:c r="H27" s="28" t="str">
        <x:v>https://www.kulturportali.gov.tr/turkiye/afyonkarahisar/kulturatlasi/sira-yemegi</x:v>
      </x:c>
      <x:c r="I27" s="14" t="str">
        <x:v>L0</x:v>
      </x:c>
      <x:c r="J27" s="14" t="str">
        <x:v>low</x:v>
      </x:c>
      <x:c r="K27" s="14" t="str">
        <x:v>standard</x:v>
      </x:c>
      <x:c r="L27" s="26" t="str">
        <x:v>sufficient</x:v>
      </x:c>
      <x:c r="M27" s="26" t="str">
        <x:v>minor_revision</x:v>
      </x:c>
      <x:c r="N27" s="26" t="str">
        <x:v>correct</x:v>
      </x:c>
      <x:c r="O27" s="26" t="str">
        <x:v>complete</x:v>
      </x:c>
      <x:c r="P27" s="26" t="str">
        <x:v>accept</x:v>
      </x:c>
      <x:c r="Q27" s="27"/>
      <x:c r="R27" s="27"/>
      <x:c r="S27" s="27"/>
      <x:c r="T27" s="27"/>
    </x:row>
    <x:row r="28" ht="48" customHeight="1">
      <x:c r="A28" s="14" t="str">
        <x:v>D023</x:v>
      </x:c>
      <x:c r="B28" s="14" t="str">
        <x:v>F008</x:v>
      </x:c>
      <x:c r="C28" s="14" t="str">
        <x:v>K2 — Ingredients &amp; Composition</x:v>
      </x:c>
      <x:c r="D28" s="14" t="str">
        <x:v>Technical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8" t="str">
        <x:v>https://ci.turkpatent.gov.tr/Files/GeographicalSigns/0cbbdd44-8cae-4ef4-af94-b2889a94f28c.pdf</x:v>
      </x:c>
      <x:c r="I28" s="14" t="str">
        <x:v>L1</x:v>
      </x:c>
      <x:c r="J28" s="14" t="str">
        <x:v>low</x:v>
      </x:c>
      <x:c r="K28" s="14" t="str">
        <x:v>standard</x:v>
      </x:c>
      <x:c r="L28" s="26" t="str">
        <x:v>sufficient</x:v>
      </x:c>
      <x:c r="M28" s="26" t="str">
        <x:v>clear</x:v>
      </x:c>
      <x:c r="N28" s="26" t="str">
        <x:v>correct</x:v>
      </x:c>
      <x:c r="O28" s="26" t="str">
        <x:v>complete</x:v>
      </x:c>
      <x:c r="P28" s="26" t="str">
        <x:v>accept</x:v>
      </x:c>
      <x:c r="Q28" s="27"/>
      <x:c r="R28" s="27"/>
      <x:c r="S28" s="27"/>
      <x:c r="T28" s="27"/>
    </x:row>
    <x:row r="29" ht="48" customHeight="1">
      <x:c r="A29" s="14" t="str">
        <x:v>D024</x:v>
      </x:c>
      <x:c r="B29" s="14" t="str">
        <x:v>F016</x:v>
      </x:c>
      <x:c r="C29" s="14" t="str">
        <x:v>K3 — Preparation &amp; Cooking Techniques</x:v>
      </x:c>
      <x:c r="D29" s="14" t="str">
        <x:v>Technical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8" t="str">
        <x:v>https://ci.turkpatent.gov.tr/Files/GeographicalSigns/8c3d053b-bb27-4305-a46f-398c181d189e.pdf</x:v>
      </x:c>
      <x:c r="I29" s="14" t="str">
        <x:v>L0</x:v>
      </x:c>
      <x:c r="J29" s="14" t="str">
        <x:v>medium</x:v>
      </x:c>
      <x:c r="K29" s="14" t="str">
        <x:v>enhanced</x:v>
      </x:c>
      <x:c r="L29" s="26" t="str">
        <x:v>sufficient</x:v>
      </x:c>
      <x:c r="M29" s="26" t="str">
        <x:v>clear</x:v>
      </x:c>
      <x:c r="N29" s="26" t="str">
        <x:v>correct</x:v>
      </x:c>
      <x:c r="O29" s="26" t="str">
        <x:v>complete</x:v>
      </x:c>
      <x:c r="P29" s="26" t="str">
        <x:v>accept</x:v>
      </x:c>
      <x:c r="Q29" s="27"/>
      <x:c r="R29" s="27"/>
      <x:c r="S29" s="27"/>
      <x:c r="T29" s="27" t="str">
        <x:v>Determine whether the cooling-to-60 °C detail is mandatory.</x:v>
      </x:c>
    </x:row>
    <x:row r="30" ht="48" customHeight="1">
      <x:c r="A30" s="14" t="str">
        <x:v>D025</x:v>
      </x:c>
      <x:c r="B30" s="14" t="str">
        <x:v>F018</x:v>
      </x:c>
      <x:c r="C30" s="14" t="str">
        <x:v>K3 — Preparation &amp; Cooking Techniques</x:v>
      </x:c>
      <x:c r="D30" s="14" t="str">
        <x:v>Technical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8" t="str">
        <x:v>https://ci.turkpatent.gov.tr/Files/GeographicalSigns/11b3bb14-c7b9-4447-89c6-e0858d9f2688.pdf</x:v>
      </x:c>
      <x:c r="I30" s="14" t="str">
        <x:v>L0</x:v>
      </x:c>
      <x:c r="J30" s="14" t="str">
        <x:v>low</x:v>
      </x:c>
      <x:c r="K30" s="14" t="str">
        <x:v>standard</x:v>
      </x:c>
      <x:c r="L30" s="26" t="str">
        <x:v>sufficient</x:v>
      </x:c>
      <x:c r="M30" s="26" t="str">
        <x:v>clear</x:v>
      </x:c>
      <x:c r="N30" s="26" t="str">
        <x:v>correct</x:v>
      </x:c>
      <x:c r="O30" s="26" t="str">
        <x:v>complete</x:v>
      </x:c>
      <x:c r="P30" s="26" t="str">
        <x:v>accept</x:v>
      </x:c>
      <x:c r="Q30" s="27"/>
      <x:c r="R30" s="27"/>
      <x:c r="S30" s="27"/>
      <x:c r="T30" s="27"/>
    </x:row>
    <x:row r="31" ht="48" customHeight="1">
      <x:c r="A31" s="14" t="str">
        <x:v>D026</x:v>
      </x:c>
      <x:c r="B31" s="14" t="str">
        <x:v>F052</x:v>
      </x:c>
      <x:c r="C31" s="14" t="str">
        <x:v>K3 — Preparation &amp; Cooking Techniques</x:v>
      </x:c>
      <x:c r="D31" s="14" t="str">
        <x:v>Local/Technical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8" t="str">
        <x:v>https://ci.turkpatent.gov.tr/Files/GeographicalSigns/024913eb-9b44-4d6b-8a23-d1a173884fd5.pdf</x:v>
      </x:c>
      <x:c r="I31" s="14" t="str">
        <x:v>L0</x:v>
      </x:c>
      <x:c r="J31" s="14" t="str">
        <x:v>low</x:v>
      </x:c>
      <x:c r="K31" s="14" t="str">
        <x:v>standard</x:v>
      </x:c>
      <x:c r="L31" s="26" t="str">
        <x:v>sufficient</x:v>
      </x:c>
      <x:c r="M31" s="26" t="str">
        <x:v>clear</x:v>
      </x:c>
      <x:c r="N31" s="26" t="str">
        <x:v>correct</x:v>
      </x:c>
      <x:c r="O31" s="26" t="str">
        <x:v>complete</x:v>
      </x:c>
      <x:c r="P31" s="26" t="str">
        <x:v>accept</x:v>
      </x:c>
      <x:c r="Q31" s="27"/>
      <x:c r="R31" s="27"/>
      <x:c r="S31" s="27"/>
      <x:c r="T31" s="27"/>
    </x:row>
    <x:row r="32" ht="48" customHeight="1">
      <x:c r="A32" s="14" t="str">
        <x:v>D027</x:v>
      </x:c>
      <x:c r="B32" s="14" t="str">
        <x:v>F062</x:v>
      </x:c>
      <x:c r="C32" s="14" t="str">
        <x:v>K3 — Preparation &amp; Cooking Techniques</x:v>
      </x:c>
      <x:c r="D32" s="14" t="str">
        <x:v>Local/Technical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8" t="str">
        <x:v>https://ci.turkpatent.gov.tr/Files/GeographicalSigns/3612f8b8-12ff-4c4d-bc58-896f37cec09b.pdf</x:v>
      </x:c>
      <x:c r="I32" s="14" t="str">
        <x:v>L0</x:v>
      </x:c>
      <x:c r="J32" s="14" t="str">
        <x:v>low</x:v>
      </x:c>
      <x:c r="K32" s="14" t="str">
        <x:v>standard</x:v>
      </x:c>
      <x:c r="L32" s="26" t="str">
        <x:v>sufficient</x:v>
      </x:c>
      <x:c r="M32" s="26" t="str">
        <x:v>clear</x:v>
      </x:c>
      <x:c r="N32" s="26" t="str">
        <x:v>correct</x:v>
      </x:c>
      <x:c r="O32" s="26" t="str">
        <x:v>complete</x:v>
      </x:c>
      <x:c r="P32" s="26" t="str">
        <x:v>accept</x:v>
      </x:c>
      <x:c r="Q32" s="27"/>
      <x:c r="R32" s="27"/>
      <x:c r="S32" s="27"/>
      <x:c r="T32" s="27"/>
    </x:row>
    <x:row r="33" ht="48" customHeight="1">
      <x:c r="A33" s="14" t="str">
        <x:v>D028</x:v>
      </x:c>
      <x:c r="B33" s="14" t="str">
        <x:v>F109</x:v>
      </x:c>
      <x:c r="C33" s="14" t="str">
        <x:v>K3 — Preparation &amp; Cooking Techniques</x:v>
      </x:c>
      <x:c r="D33" s="14" t="str">
        <x:v>Local/Technical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8" t="str">
        <x:v>https://www.kulturportali.gov.tr/turkiye/tekirdag/neyenir/bulama</x:v>
      </x:c>
      <x:c r="I33" s="14" t="str">
        <x:v>L0</x:v>
      </x:c>
      <x:c r="J33" s="14" t="str">
        <x:v>medium</x:v>
      </x:c>
      <x:c r="K33" s="14" t="str">
        <x:v>enhanced</x:v>
      </x:c>
      <x:c r="L33" s="26" t="str">
        <x:v>sufficient</x:v>
      </x:c>
      <x:c r="M33" s="26" t="str">
        <x:v>clear</x:v>
      </x:c>
      <x:c r="N33" s="26" t="str">
        <x:v>correct</x:v>
      </x:c>
      <x:c r="O33" s="26" t="str">
        <x:v>complete</x:v>
      </x:c>
      <x:c r="P33" s="26" t="str">
        <x:v>accept</x:v>
      </x:c>
      <x:c r="Q33" s="27"/>
      <x:c r="R33" s="27"/>
      <x:c r="S33" s="27"/>
      <x:c r="T33" s="27" t="str">
        <x:v>Verify equivalence of çöven / çöğen.</x:v>
      </x:c>
    </x:row>
    <x:row r="34" ht="48" customHeight="1">
      <x:c r="A34" s="14" t="str">
        <x:v>D029</x:v>
      </x:c>
      <x:c r="B34" s="14" t="str">
        <x:v>F027</x:v>
      </x:c>
      <x:c r="C34" s="14" t="str">
        <x:v>K5 — Culinary Terminology &amp; Traditional Practices</x:v>
      </x:c>
      <x:c r="D34" s="14" t="str">
        <x:v>General/Heritage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8" t="str">
        <x:v>https://ich.unesco.org/en/RL/turkish-coffee-culture-and-tradition-00645</x:v>
      </x:c>
      <x:c r="I34" s="14" t="str">
        <x:v>L0</x:v>
      </x:c>
      <x:c r="J34" s="14" t="str">
        <x:v>low</x:v>
      </x:c>
      <x:c r="K34" s="14" t="str">
        <x:v>standard</x:v>
      </x:c>
      <x:c r="L34" s="26" t="str">
        <x:v>sufficient</x:v>
      </x:c>
      <x:c r="M34" s="26" t="str">
        <x:v>clear</x:v>
      </x:c>
      <x:c r="N34" s="26" t="str">
        <x:v>correct</x:v>
      </x:c>
      <x:c r="O34" s="26" t="str">
        <x:v>complete</x:v>
      </x:c>
      <x:c r="P34" s="26" t="str">
        <x:v>accept</x:v>
      </x:c>
      <x:c r="Q34" s="27"/>
      <x:c r="R34" s="27"/>
      <x:c r="S34" s="27"/>
      <x:c r="T34" s="27"/>
    </x:row>
    <x:row r="35" ht="48" customHeight="1">
      <x:c r="A35" s="14" t="str">
        <x:v>D030</x:v>
      </x:c>
      <x:c r="B35" s="14" t="str">
        <x:v>F036</x:v>
      </x:c>
      <x:c r="C35" s="14" t="str">
        <x:v>K6 — Culinary History, Heritage &amp; Cultural Context</x:v>
      </x:c>
      <x:c r="D35" s="14" t="str">
        <x:v>General/Heritage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8" t="str">
        <x:v>https://ich.unesco.org/en/RL/culture-of-cay-tea-a-symbol-of-identity-hospitality-and-social-interaction-01685</x:v>
      </x:c>
      <x:c r="I35" s="14" t="str">
        <x:v>L0</x:v>
      </x:c>
      <x:c r="J35" s="14" t="str">
        <x:v>low</x:v>
      </x:c>
      <x:c r="K35" s="14" t="str">
        <x:v>standard</x:v>
      </x:c>
      <x:c r="L35" s="26" t="str">
        <x:v>sufficient</x:v>
      </x:c>
      <x:c r="M35" s="26" t="str">
        <x:v>clear</x:v>
      </x:c>
      <x:c r="N35" s="26" t="str">
        <x:v>correct</x:v>
      </x:c>
      <x:c r="O35" s="26" t="str">
        <x:v>complete</x:v>
      </x:c>
      <x:c r="P35" s="26" t="str">
        <x:v>accept</x:v>
      </x:c>
      <x:c r="Q35" s="27"/>
      <x:c r="R35" s="27"/>
      <x:c r="S35" s="27"/>
      <x:c r="T35" s="27"/>
    </x:row>
    <x:row r="36" ht="48" customHeight="1">
      <x:c r="A36" s="14" t="str">
        <x:v>D031</x:v>
      </x:c>
      <x:c r="B36" s="14" t="str">
        <x:v>F084</x:v>
      </x:c>
      <x:c r="C36" s="14" t="str">
        <x:v>K6 — Culinary History, Heritage &amp; Cultural Context</x:v>
      </x:c>
      <x:c r="D36" s="14" t="str">
        <x:v>General/Heritage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8" t="str">
        <x:v>https://ich.unesco.org/en/RL/flatbread-making-and-sharing-culture-lavash-katyrma-jupka-yufka-01181</x:v>
      </x:c>
      <x:c r="I36" s="14" t="str">
        <x:v>L0</x:v>
      </x:c>
      <x:c r="J36" s="14" t="str">
        <x:v>low</x:v>
      </x:c>
      <x:c r="K36" s="14" t="str">
        <x:v>standard</x:v>
      </x:c>
      <x:c r="L36" s="26" t="str">
        <x:v>sufficient</x:v>
      </x:c>
      <x:c r="M36" s="26" t="str">
        <x:v>clear</x:v>
      </x:c>
      <x:c r="N36" s="26" t="str">
        <x:v>correct</x:v>
      </x:c>
      <x:c r="O36" s="26" t="str">
        <x:v>complete</x:v>
      </x:c>
      <x:c r="P36" s="26" t="str">
        <x:v>accept</x:v>
      </x:c>
      <x:c r="Q36" s="27"/>
      <x:c r="R36" s="27"/>
      <x:c r="S36" s="27"/>
      <x:c r="T36" s="27"/>
    </x:row>
    <x:row r="37" ht="48" customHeight="1">
      <x:c r="A37" s="14" t="str">
        <x:v>D032</x:v>
      </x:c>
      <x:c r="B37" s="14" t="str">
        <x:v>F085</x:v>
      </x:c>
      <x:c r="C37" s="14" t="str">
        <x:v>K6 — Culinary History, Heritage &amp; Cultural Context</x:v>
      </x:c>
      <x:c r="D37" s="14" t="str">
        <x:v>Local/Heritage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8" t="str">
        <x:v>https://ich.unesco.org/en/RL/ceremonial-keskek-tradition-00388</x:v>
      </x:c>
      <x:c r="I37" s="14" t="str">
        <x:v>L0</x:v>
      </x:c>
      <x:c r="J37" s="14" t="str">
        <x:v>low</x:v>
      </x:c>
      <x:c r="K37" s="14" t="str">
        <x:v>standard</x:v>
      </x:c>
      <x:c r="L37" s="26" t="str">
        <x:v>sufficient</x:v>
      </x:c>
      <x:c r="M37" s="26" t="str">
        <x:v>clear</x:v>
      </x:c>
      <x:c r="N37" s="26" t="str">
        <x:v>correct</x:v>
      </x:c>
      <x:c r="O37" s="26" t="str">
        <x:v>complete</x:v>
      </x:c>
      <x:c r="P37" s="26" t="str">
        <x:v>accept</x:v>
      </x:c>
      <x:c r="Q37" s="27"/>
      <x:c r="R37" s="27"/>
      <x:c r="S37" s="27"/>
      <x:c r="T37" s="27"/>
    </x:row>
    <x:row r="38" ht="48" customHeight="1">
      <x:c r="A38" s="14" t="str">
        <x:v>D033</x:v>
      </x:c>
      <x:c r="B38" s="14" t="str">
        <x:v>F096</x:v>
      </x:c>
      <x:c r="C38" s="14" t="str">
        <x:v>K6 — Culinary History, Heritage &amp; Cultural Context</x:v>
      </x:c>
      <x:c r="D38" s="14" t="str">
        <x:v>Local/Heritage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8" t="str">
        <x:v>https://ich.unesco.org/en/RL/mesir-macunu-festival-00642</x:v>
      </x:c>
      <x:c r="I38" s="14" t="str">
        <x:v>L0</x:v>
      </x:c>
      <x:c r="J38" s="14" t="str">
        <x:v>low</x:v>
      </x:c>
      <x:c r="K38" s="14" t="str">
        <x:v>standard</x:v>
      </x:c>
      <x:c r="L38" s="26" t="str">
        <x:v>sufficient</x:v>
      </x:c>
      <x:c r="M38" s="26" t="str">
        <x:v>clear</x:v>
      </x:c>
      <x:c r="N38" s="26" t="str">
        <x:v>correct</x:v>
      </x:c>
      <x:c r="O38" s="26" t="str">
        <x:v>complete</x:v>
      </x:c>
      <x:c r="P38" s="26" t="str">
        <x:v>accept</x:v>
      </x:c>
      <x:c r="Q38" s="27"/>
      <x:c r="R38" s="27"/>
      <x:c r="S38" s="27"/>
      <x:c r="T38" s="27"/>
    </x:row>
    <x:row r="39" ht="48" customHeight="1">
      <x:c r="A39" s="14" t="str">
        <x:v>D034</x:v>
      </x:c>
      <x:c r="B39" s="14" t="str">
        <x:v>F101</x:v>
      </x:c>
      <x:c r="C39" s="14" t="str">
        <x:v>K6 — Culinary History, Heritage &amp; Cultural Context</x:v>
      </x:c>
      <x:c r="D39" s="14" t="str">
        <x:v>General/Heritage</x:v>
      </x:c>
      <x:c r="E39" s="14" t="str">
        <x:v>Türkiye'de güllaç geleneksel olarak hangi ay veya dönemle özdeşleşir?</x:v>
      </x:c>
      <x:c r="F39" s="14" t="str">
        <x:v>Ramazan</x:v>
      </x:c>
      <x:c r="G39" s="14" t="str">
        <x:v>ramazan | ramazan ayı</x:v>
      </x:c>
      <x:c r="H39" s="28" t="str">
        <x:v>https://kulturportali.gov.tr/portal/geleneksel-lezzetler--7-ozel-gun-yemegi</x:v>
      </x:c>
      <x:c r="I39" s="14" t="str">
        <x:v>L0</x:v>
      </x:c>
      <x:c r="J39" s="14" t="str">
        <x:v>low</x:v>
      </x:c>
      <x:c r="K39" s="14" t="str">
        <x:v>standard</x:v>
      </x:c>
      <x:c r="L39" s="26" t="str">
        <x:v>sufficient</x:v>
      </x:c>
      <x:c r="M39" s="26" t="str">
        <x:v>clear</x:v>
      </x:c>
      <x:c r="N39" s="26" t="str">
        <x:v>correct</x:v>
      </x:c>
      <x:c r="O39" s="26" t="str">
        <x:v>complete</x:v>
      </x:c>
      <x:c r="P39" s="26" t="str">
        <x:v>accept</x:v>
      </x:c>
      <x:c r="Q39" s="27"/>
      <x:c r="R39" s="27"/>
      <x:c r="S39" s="27"/>
      <x:c r="T39" s="27"/>
    </x:row>
    <x:row r="40" ht="48" customHeight="1">
      <x:c r="A40" s="14" t="str">
        <x:v>D035</x:v>
      </x:c>
      <x:c r="B40" s="14" t="str">
        <x:v>F010</x:v>
      </x:c>
      <x:c r="C40" s="14" t="str">
        <x:v>K4 — Geographical Indications &amp; Product Specifications</x:v>
      </x:c>
      <x:c r="D40" s="14" t="str">
        <x:v>Technical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8" t="str">
        <x:v>https://ci.turkpatent.gov.tr/Files/GeographicalSigns/8eb202f7-bf82-48cd-9f21-955bc921c665.pdf</x:v>
      </x:c>
      <x:c r="I40" s="14" t="str">
        <x:v>L1</x:v>
      </x:c>
      <x:c r="J40" s="14" t="str">
        <x:v>low</x:v>
      </x:c>
      <x:c r="K40" s="14" t="str">
        <x:v>standard</x:v>
      </x:c>
      <x:c r="L40" s="26" t="str">
        <x:v>sufficient</x:v>
      </x:c>
      <x:c r="M40" s="26" t="str">
        <x:v>clear</x:v>
      </x:c>
      <x:c r="N40" s="26" t="str">
        <x:v>correct</x:v>
      </x:c>
      <x:c r="O40" s="26" t="str">
        <x:v>complete</x:v>
      </x:c>
      <x:c r="P40" s="26" t="str">
        <x:v>accept</x:v>
      </x:c>
      <x:c r="Q40" s="27"/>
      <x:c r="R40" s="27"/>
      <x:c r="S40" s="27"/>
      <x:c r="T40" s="27"/>
    </x:row>
    <x:row r="41" ht="48" customHeight="1">
      <x:c r="A41" s="14" t="str">
        <x:v>D036</x:v>
      </x:c>
      <x:c r="B41" s="14" t="str">
        <x:v>F088</x:v>
      </x:c>
      <x:c r="C41" s="14" t="str">
        <x:v>K3 — Preparation &amp; Cooking Techniques</x:v>
      </x:c>
      <x:c r="D41" s="14" t="str">
        <x:v>Local/Heritage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8" t="str">
        <x:v>https://ich.unesco.org/en/RL/ceremonial-keskek-tradition-00388</x:v>
      </x:c>
      <x:c r="I41" s="14" t="str">
        <x:v>L0</x:v>
      </x:c>
      <x:c r="J41" s="14" t="str">
        <x:v>medium</x:v>
      </x:c>
      <x:c r="K41" s="14" t="str">
        <x:v>enhanced</x:v>
      </x:c>
      <x:c r="L41" s="26" t="str">
        <x:v>sufficient</x:v>
      </x:c>
      <x:c r="M41" s="26" t="str">
        <x:v>clear</x:v>
      </x:c>
      <x:c r="N41" s="26" t="str">
        <x:v>correct</x:v>
      </x:c>
      <x:c r="O41" s="26" t="str">
        <x:v>complete</x:v>
      </x:c>
      <x:c r="P41" s="26" t="str">
        <x:v>accept</x:v>
      </x:c>
      <x:c r="Q41" s="27"/>
      <x:c r="R41" s="27"/>
      <x:c r="S41" s="27"/>
      <x:c r="T41" s="27" t="str">
        <x:v>Confirm two-endpoint numeric-range scoring.</x:v>
      </x:c>
    </x:row>
  </x:sheetData>
  <x:mergeCells>
    <x:mergeCell ref="A1:T1"/>
  </x:mergeCells>
  <x:dataValidations count="5">
    <x:dataValidation type="list" sqref="L6:L41">
      <x:formula1>"sufficient,insufficient,unclear"</x:formula1>
    </x:dataValidation>
    <x:dataValidation type="list" sqref="M6:M41">
      <x:formula1>"clear,minor_revision,major_revision"</x:formula1>
    </x:dataValidation>
    <x:dataValidation type="list" sqref="N6:N41">
      <x:formula1>"correct,revise,incorrect"</x:formula1>
    </x:dataValidation>
    <x:dataValidation type="list" sqref="O6:O41">
      <x:formula1>"complete,add,remove,unclear"</x:formula1>
    </x:dataValidation>
    <x:dataValidation type="list" sqref="P6:P41">
      <x:formula1>"accept,revise,exclude"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e4e1e663664b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1.25" hidden="0" customWidth="1"/>
    <x:col min="3" max="3" width="14.380000114440918" hidden="0" customWidth="1"/>
    <x:col min="4" max="4" width="14.380000114440918" hidden="0" customWidth="1"/>
    <x:col min="5" max="5" width="15.630000114440918" hidden="0" customWidth="1"/>
    <x:col min="6" max="6" width="13.75" hidden="0" customWidth="1"/>
    <x:col min="7" max="7" width="37.5" hidden="0" customWidth="1"/>
    <x:col min="8" max="8" width="18.1299991607666" hidden="0" customWidth="1"/>
    <x:col min="9" max="9" width="35" hidden="0" customWidth="1"/>
    <x:col min="10" max="10" width="15" hidden="0" customWidth="1"/>
    <x:col min="11" max="11" width="15" hidden="0" customWidth="1"/>
    <x:col min="12" max="12" width="15.630000114440918" hidden="0" customWidth="1"/>
    <x:col min="13" max="13" width="37.5" hidden="0" customWidth="1"/>
  </x:cols>
  <x:sheetData>
    <x:row r="1" ht="28.5" customHeight="1">
      <x:c r="A1" s="3" t="str">
        <x:v>TurkCuisineBench-Dev — Adjudication</x:v>
      </x:c>
      <x:c r="B1" s="3" t="str">
        <x:v>TurkCuisineBench-Dev — Adjudication</x:v>
      </x:c>
      <x:c r="C1" s="3" t="str">
        <x:v>TurkCuisineBench-Dev — Adjudication</x:v>
      </x:c>
      <x:c r="D1" s="3" t="str">
        <x:v>TurkCuisineBench-Dev — Adjudication</x:v>
      </x:c>
      <x:c r="E1" s="3" t="str">
        <x:v>TurkCuisineBench-Dev — Adjudication</x:v>
      </x:c>
      <x:c r="F1" s="3" t="str">
        <x:v>TurkCuisineBench-Dev — Adjudication</x:v>
      </x:c>
      <x:c r="G1" s="3" t="str">
        <x:v>TurkCuisineBench-Dev — Adjudication</x:v>
      </x:c>
      <x:c r="H1" s="3" t="str">
        <x:v>TurkCuisineBench-Dev — Adjudication</x:v>
      </x:c>
      <x:c r="I1" s="3" t="str">
        <x:v>TurkCuisineBench-Dev — Adjudication</x:v>
      </x:c>
      <x:c r="J1" s="3" t="str">
        <x:v>TurkCuisineBench-Dev — Adjudication</x:v>
      </x:c>
      <x:c r="K1" s="3" t="str">
        <x:v>TurkCuisineBench-Dev — Adjudication</x:v>
      </x:c>
      <x:c r="L1" s="3" t="str">
        <x:v>TurkCuisineBench-Dev — Adjudication</x:v>
      </x:c>
      <x:c r="M1" s="3" t="str">
        <x:v>TurkCuisineBench-Dev — Adjudication</x:v>
      </x:c>
    </x:row>
    <x:row r="2">
      <x:c r="A2" s="31" t="str">
        <x:v>Complete only after both independent reviewer sheets are locked.</x:v>
      </x:c>
      <x:c r="B2" s="31" t="str"/>
      <x:c r="C2" s="31" t="str"/>
      <x:c r="D2" s="31" t="str"/>
      <x:c r="E2" s="31" t="str"/>
      <x:c r="F2" s="31" t="str"/>
      <x:c r="G2" s="31" t="str"/>
      <x:c r="H2" s="31" t="str"/>
      <x:c r="I2" s="31" t="str"/>
      <x:c r="J2" s="31" t="str"/>
      <x:c r="K2" s="31" t="str"/>
      <x:c r="L2" s="31" t="str"/>
      <x:c r="M2" s="31" t="str"/>
    </x:row>
    <x:row r="5" ht="36" customHeight="1">
      <x:c r="A5" s="22" t="str">
        <x:v>item_id</x:v>
      </x:c>
      <x:c r="B5" s="22" t="str">
        <x:v>review_route</x:v>
      </x:c>
      <x:c r="C5" s="22" t="str">
        <x:v>reviewer_A_action</x:v>
      </x:c>
      <x:c r="D5" s="22" t="str">
        <x:v>reviewer_B_action</x:v>
      </x:c>
      <x:c r="E5" s="22" t="str">
        <x:v>agreement_status</x:v>
      </x:c>
      <x:c r="F5" s="22" t="str">
        <x:v>final_action</x:v>
      </x:c>
      <x:c r="G5" s="22" t="str">
        <x:v>final_question</x:v>
      </x:c>
      <x:c r="H5" s="22" t="str">
        <x:v>final_gold</x:v>
      </x:c>
      <x:c r="I5" s="22" t="str">
        <x:v>final_accepted_answers</x:v>
      </x:c>
      <x:c r="J5" s="22" t="str">
        <x:v>adjudicator_code</x:v>
      </x:c>
      <x:c r="K5" s="22" t="str">
        <x:v>adjudication_date</x:v>
      </x:c>
      <x:c r="L5" s="22" t="str">
        <x:v>reason_code</x:v>
      </x:c>
      <x:c r="M5" s="22" t="str">
        <x:v>adjudication_notes</x:v>
      </x:c>
    </x:row>
    <x:row r="6" ht="46.5" customHeight="1">
      <x:c r="A6" s="14" t="str">
        <x:v>D001</x:v>
      </x:c>
      <x:c r="B6" s="14" t="str">
        <x:v>standard</x:v>
      </x:c>
      <x:c r="C6" s="32" t="str">
        <x:f>IF('Dev_Reviewer_A'!P6="","",'Dev_Reviewer_A'!P6)</x:f>
        <x:v>accept</x:v>
      </x:c>
      <x:c r="D6" s="32" t="str">
        <x:f>IF('Dev_Reviewer_B'!P6="","",'Dev_Reviewer_B'!P6)</x:f>
        <x:v>accept</x:v>
      </x:c>
      <x:c r="E6" s="32" t="str">
        <x:f>IF(OR(C6="",D6=""),"PENDING",IF(C6=D6,"AGREE","ADJUDICATE"))</x:f>
        <x:v>AGREE</x:v>
      </x:c>
      <x:c r="F6" s="26" t="str">
        <x:v>accept</x:v>
      </x:c>
      <x:c r="G6" s="26" t="str">
        <x:v>Adana Kebabı için et geleneksel olarak hangi araçla kıyılır?</x:v>
      </x:c>
      <x:c r="H6" s="26" t="str">
        <x:v>Zırh</x:v>
      </x:c>
      <x:c r="I6" s="26" t="str">
        <x:v>zırh</x:v>
      </x:c>
      <x:c r="J6" s="26" t="str">
        <x:v>CONCORDANT_REVIEW</x:v>
      </x:c>
      <x:c r="K6" s="26" t="str">
        <x:v>2026-08-25</x:v>
      </x:c>
      <x:c r="L6" s="26" t="str">
        <x:v>A06_other</x:v>
      </x:c>
      <x:c r="M6" s="26" t="str">
        <x:v>Accepted as written after concordant, complete independent review.</x:v>
      </x:c>
    </x:row>
    <x:row r="7" ht="46.5" customHeight="1">
      <x:c r="A7" s="14" t="str">
        <x:v>D002</x:v>
      </x:c>
      <x:c r="B7" s="14" t="str">
        <x:v>standard</x:v>
      </x:c>
      <x:c r="C7" s="32" t="str">
        <x:f>IF('Dev_Reviewer_A'!P7="","",'Dev_Reviewer_A'!P7)</x:f>
        <x:v>revise</x:v>
      </x:c>
      <x:c r="D7" s="32" t="str">
        <x:f>IF('Dev_Reviewer_B'!P7="","",'Dev_Reviewer_B'!P7)</x:f>
        <x:v>revise</x:v>
      </x:c>
      <x:c r="E7" s="32" t="str">
        <x:f>IF(OR(C7="",D7=""),"PENDING",IF(C7=D7,"AGREE","ADJUDICATE"))</x:f>
        <x:v>AGREE</x:v>
      </x:c>
      <x:c r="F7" s="26" t="str">
        <x:v>revise</x:v>
      </x:c>
      <x:c r="G7" s="26" t="str">
        <x:v>Maraş Tarhanasının kurutulmak üzere serildiği geleneksel hasır örtüye ne ad verilir?</x:v>
      </x:c>
      <x:c r="H7" s="26" t="str">
        <x:v>Çığ</x:v>
      </x:c>
      <x:c r="I7" s="26" t="str">
        <x:v>çığ</x:v>
      </x:c>
      <x:c r="J7" s="26" t="str">
        <x:v>ADJ-01</x:v>
      </x:c>
      <x:c r="K7" s="26" t="str">
        <x:v>2026-08-25</x:v>
      </x:c>
      <x:c r="L7" s="26" t="str">
        <x:v>A02_clarity</x:v>
      </x:c>
      <x:c r="M7" s="26" t="str">
        <x:v>Independent adjudicator note 'sergi yerine örtü' was transcribed by the lead researcher; final wording was source-checked.</x:v>
      </x:c>
    </x:row>
    <x:row r="8" ht="46.5" customHeight="1">
      <x:c r="A8" s="14" t="str">
        <x:v>D003</x:v>
      </x:c>
      <x:c r="B8" s="14" t="str">
        <x:v>standard</x:v>
      </x:c>
      <x:c r="C8" s="32" t="str">
        <x:f>IF('Dev_Reviewer_A'!P8="","",'Dev_Reviewer_A'!P8)</x:f>
        <x:v>accept</x:v>
      </x:c>
      <x:c r="D8" s="32" t="str">
        <x:f>IF('Dev_Reviewer_B'!P8="","",'Dev_Reviewer_B'!P8)</x:f>
        <x:v>accept</x:v>
      </x:c>
      <x:c r="E8" s="32" t="str">
        <x:f>IF(OR(C8="",D8=""),"PENDING",IF(C8=D8,"AGREE","ADJUDICATE"))</x:f>
        <x:v>AGREE</x:v>
      </x:c>
      <x:c r="F8" s="26" t="str">
        <x:v>accept</x:v>
      </x:c>
      <x:c r="G8" s="26" t="str">
        <x:v>UNESCO tanımına göre Türk kahvesi hazırlanırken öğütülmüş kahveye başlangıçta hangi sıcaklıktaki su eklenir?</x:v>
      </x:c>
      <x:c r="H8" s="26" t="str">
        <x:v>Soğuk</x:v>
      </x:c>
      <x:c r="I8" s="26" t="str">
        <x:v>soğuk | soğuk su</x:v>
      </x:c>
      <x:c r="J8" s="26" t="str">
        <x:v>CONCORDANT_REVIEW</x:v>
      </x:c>
      <x:c r="K8" s="26" t="str">
        <x:v>2026-08-25</x:v>
      </x:c>
      <x:c r="L8" s="26" t="str">
        <x:v>A06_other</x:v>
      </x:c>
      <x:c r="M8" s="26" t="str">
        <x:v>Accepted as written after concordant, complete independent review.</x:v>
      </x:c>
    </x:row>
    <x:row r="9" ht="46.5" customHeight="1">
      <x:c r="A9" s="14" t="str">
        <x:v>D004</x:v>
      </x:c>
      <x:c r="B9" s="14" t="str">
        <x:v>standard</x:v>
      </x:c>
      <x:c r="C9" s="32" t="str">
        <x:f>IF('Dev_Reviewer_A'!P9="","",'Dev_Reviewer_A'!P9)</x:f>
        <x:v>accept</x:v>
      </x:c>
      <x:c r="D9" s="32" t="str">
        <x:f>IF('Dev_Reviewer_B'!P9="","",'Dev_Reviewer_B'!P9)</x:f>
        <x:v>accept</x:v>
      </x:c>
      <x:c r="E9" s="32" t="str">
        <x:f>IF(OR(C9="",D9=""),"PENDING",IF(C9=D9,"AGREE","ADJUDICATE"))</x:f>
        <x:v>AGREE</x:v>
      </x:c>
      <x:c r="F9" s="26" t="str">
        <x:v>accept</x:v>
      </x:c>
      <x:c r="G9" s="26" t="str">
        <x:v>UNESCO'ya göre Türk kahvesine geleneksel olarak hangi içecek eşlik eder?</x:v>
      </x:c>
      <x:c r="H9" s="26" t="str">
        <x:v>Su</x:v>
      </x:c>
      <x:c r="I9" s="26" t="str">
        <x:v>su | bir bardak su</x:v>
      </x:c>
      <x:c r="J9" s="26" t="str">
        <x:v>CONCORDANT_REVIEW</x:v>
      </x:c>
      <x:c r="K9" s="26" t="str">
        <x:v>2026-08-25</x:v>
      </x:c>
      <x:c r="L9" s="26" t="str">
        <x:v>A06_other</x:v>
      </x:c>
      <x:c r="M9" s="26" t="str">
        <x:v>Accepted as written after concordant, complete independent review.</x:v>
      </x:c>
    </x:row>
    <x:row r="10" ht="46.5" customHeight="1">
      <x:c r="A10" s="14" t="str">
        <x:v>D005</x:v>
      </x:c>
      <x:c r="B10" s="14" t="str">
        <x:v>standard</x:v>
      </x:c>
      <x:c r="C10" s="32" t="str">
        <x:f>IF('Dev_Reviewer_A'!P10="","",'Dev_Reviewer_A'!P10)</x:f>
        <x:v>accept</x:v>
      </x:c>
      <x:c r="D10" s="32" t="str">
        <x:f>IF('Dev_Reviewer_B'!P10="","",'Dev_Reviewer_B'!P10)</x:f>
        <x:v>accept</x:v>
      </x:c>
      <x:c r="E10" s="32" t="str">
        <x:f>IF(OR(C10="",D10=""),"PENDING",IF(C10=D10,"AGREE","ADJUDICATE"))</x:f>
        <x:v>AGREE</x:v>
      </x:c>
      <x:c r="F10" s="26" t="str">
        <x:v>accept</x:v>
      </x:c>
      <x:c r="G10" s="26" t="str">
        <x:v>Antalya Piyazını diğer piyazlardan ayıran karakteristik sos nedir?</x:v>
      </x:c>
      <x:c r="H10" s="26" t="str">
        <x:v>Tarator</x:v>
      </x:c>
      <x:c r="I10" s="26" t="str">
        <x:v>tarator | tarator sosu</x:v>
      </x:c>
      <x:c r="J10" s="26" t="str">
        <x:v>CONCORDANT_REVIEW</x:v>
      </x:c>
      <x:c r="K10" s="26" t="str">
        <x:v>2026-08-25</x:v>
      </x:c>
      <x:c r="L10" s="26" t="str">
        <x:v>A06_other</x:v>
      </x:c>
      <x:c r="M10" s="26" t="str">
        <x:v>Accepted as written after concordant, complete independent review.</x:v>
      </x:c>
    </x:row>
    <x:row r="11" ht="46.5" customHeight="1">
      <x:c r="A11" s="14" t="str">
        <x:v>D006</x:v>
      </x:c>
      <x:c r="B11" s="14" t="str">
        <x:v>standard</x:v>
      </x:c>
      <x:c r="C11" s="32" t="str">
        <x:f>IF('Dev_Reviewer_A'!P11="","",'Dev_Reviewer_A'!P11)</x:f>
        <x:v>accept</x:v>
      </x:c>
      <x:c r="D11" s="32" t="str">
        <x:f>IF('Dev_Reviewer_B'!P11="","",'Dev_Reviewer_B'!P11)</x:f>
        <x:v>accept</x:v>
      </x:c>
      <x:c r="E11" s="32" t="str">
        <x:f>IF(OR(C11="",D11=""),"PENDING",IF(C11=D11,"AGREE","ADJUDICATE"))</x:f>
        <x:v>AGREE</x:v>
      </x:c>
      <x:c r="F11" s="26" t="str">
        <x:v>accept</x:v>
      </x:c>
      <x:c r="G11" s="26" t="str">
        <x:v>Tarsus Humusunda pişmiş nohut geleneksel olarak hangi araçla ezilir?</x:v>
      </x:c>
      <x:c r="H11" s="26" t="str">
        <x:v>Tokmak</x:v>
      </x:c>
      <x:c r="I11" s="26" t="str">
        <x:v>tokmak</x:v>
      </x:c>
      <x:c r="J11" s="26" t="str">
        <x:v>CONCORDANT_REVIEW</x:v>
      </x:c>
      <x:c r="K11" s="26" t="str">
        <x:v>2026-08-25</x:v>
      </x:c>
      <x:c r="L11" s="26" t="str">
        <x:v>A06_other</x:v>
      </x:c>
      <x:c r="M11" s="26" t="str">
        <x:v>Accepted as written after concordant, complete independent review.</x:v>
      </x:c>
    </x:row>
    <x:row r="12" ht="46.5" customHeight="1">
      <x:c r="A12" s="14" t="str">
        <x:v>D007</x:v>
      </x:c>
      <x:c r="B12" s="14" t="str">
        <x:v>standard</x:v>
      </x:c>
      <x:c r="C12" s="32" t="str">
        <x:f>IF('Dev_Reviewer_A'!P12="","",'Dev_Reviewer_A'!P12)</x:f>
        <x:v>accept</x:v>
      </x:c>
      <x:c r="D12" s="32" t="str">
        <x:f>IF('Dev_Reviewer_B'!P12="","",'Dev_Reviewer_B'!P12)</x:f>
        <x:v>accept</x:v>
      </x:c>
      <x:c r="E12" s="32" t="str">
        <x:f>IF(OR(C12="",D12=""),"PENDING",IF(C12=D12,"AGREE","ADJUDICATE"))</x:f>
        <x:v>AGREE</x:v>
      </x:c>
      <x:c r="F12" s="26" t="str">
        <x:v>accept</x:v>
      </x:c>
      <x:c r="G12" s="26" t="str">
        <x:v>Erzincan Kesme Kadayıfında yufka katlarının arasına hangi kuruyemiş konur?</x:v>
      </x:c>
      <x:c r="H12" s="26" t="str">
        <x:v>Ceviz</x:v>
      </x:c>
      <x:c r="I12" s="26" t="str">
        <x:v>ceviz | ceviz içi</x:v>
      </x:c>
      <x:c r="J12" s="26" t="str">
        <x:v>CONCORDANT_REVIEW</x:v>
      </x:c>
      <x:c r="K12" s="26" t="str">
        <x:v>2026-08-25</x:v>
      </x:c>
      <x:c r="L12" s="26" t="str">
        <x:v>A06_other</x:v>
      </x:c>
      <x:c r="M12" s="26" t="str">
        <x:v>Accepted as written after concordant, complete independent review.</x:v>
      </x:c>
    </x:row>
    <x:row r="13" ht="46.5" customHeight="1">
      <x:c r="A13" s="14" t="str">
        <x:v>D008</x:v>
      </x:c>
      <x:c r="B13" s="14" t="str">
        <x:v>standard</x:v>
      </x:c>
      <x:c r="C13" s="32" t="str">
        <x:f>IF('Dev_Reviewer_A'!P13="","",'Dev_Reviewer_A'!P13)</x:f>
        <x:v>accept</x:v>
      </x:c>
      <x:c r="D13" s="32" t="str">
        <x:f>IF('Dev_Reviewer_B'!P13="","",'Dev_Reviewer_B'!P13)</x:f>
        <x:v>accept</x:v>
      </x:c>
      <x:c r="E13" s="32" t="str">
        <x:f>IF(OR(C13="",D13=""),"PENDING",IF(C13=D13,"AGREE","ADJUDICATE"))</x:f>
        <x:v>AGREE</x:v>
      </x:c>
      <x:c r="F13" s="26" t="str">
        <x:v>accept</x:v>
      </x:c>
      <x:c r="G13" s="26" t="str">
        <x:v>Diyarbakır Kaburga Dolmasının pirinçli iç harcında hangi kuruyemiş kullanılır?</x:v>
      </x:c>
      <x:c r="H13" s="26" t="str">
        <x:v>Badem</x:v>
      </x:c>
      <x:c r="I13" s="26" t="str">
        <x:v>badem | badem içi</x:v>
      </x:c>
      <x:c r="J13" s="26" t="str">
        <x:v>CONCORDANT_REVIEW</x:v>
      </x:c>
      <x:c r="K13" s="26" t="str">
        <x:v>2026-08-25</x:v>
      </x:c>
      <x:c r="L13" s="26" t="str">
        <x:v>A06_other</x:v>
      </x:c>
      <x:c r="M13" s="26" t="str">
        <x:v>Accepted as written after concordant, complete independent review.</x:v>
      </x:c>
    </x:row>
    <x:row r="14" ht="46.5" customHeight="1">
      <x:c r="A14" s="14" t="str">
        <x:v>D009</x:v>
      </x:c>
      <x:c r="B14" s="14" t="str">
        <x:v>enhanced</x:v>
      </x:c>
      <x:c r="C14" s="32" t="str">
        <x:f>IF('Dev_Reviewer_A'!P14="","",'Dev_Reviewer_A'!P14)</x:f>
        <x:v>accept</x:v>
      </x:c>
      <x:c r="D14" s="32" t="str">
        <x:f>IF('Dev_Reviewer_B'!P14="","",'Dev_Reviewer_B'!P14)</x:f>
        <x:v>accept</x:v>
      </x:c>
      <x:c r="E14" s="32" t="str">
        <x:f>IF(OR(C14="",D14=""),"PENDING",IF(C14=D14,"AGREE","ADJUDICATE"))</x:f>
        <x:v>AGREE</x:v>
      </x:c>
      <x:c r="F14" s="26" t="str">
        <x:v>accept</x:v>
      </x:c>
      <x:c r="G14" s="26" t="str">
        <x:v>Maraş Tarhanasının iki temel bileşeni nedir?</x:v>
      </x:c>
      <x:c r="H14" s="26" t="str">
        <x:v>Yoğurt ve dövme</x:v>
      </x:c>
      <x:c r="I14" s="26" t="str">
        <x:v>yoğurt ve dövme | yoğurt ve buğday yarması | yoğurt ile dövme | yoğurt ile buğday yarması</x:v>
      </x:c>
      <x:c r="J14" s="26" t="str">
        <x:v>CONCORDANT_REVIEW</x:v>
      </x:c>
      <x:c r="K14" s="26" t="str">
        <x:v>2026-08-25</x:v>
      </x:c>
      <x:c r="L14" s="26" t="str">
        <x:v>A06_other</x:v>
      </x:c>
      <x:c r="M14" s="26" t="str">
        <x:v>Accepted as written after concordant, complete independent review.</x:v>
      </x:c>
    </x:row>
    <x:row r="15" ht="46.5" customHeight="1">
      <x:c r="A15" s="14" t="str">
        <x:v>D010</x:v>
      </x:c>
      <x:c r="B15" s="14" t="str">
        <x:v>enhanced</x:v>
      </x:c>
      <x:c r="C15" s="32" t="str">
        <x:f>IF('Dev_Reviewer_A'!P15="","",'Dev_Reviewer_A'!P15)</x:f>
        <x:v>accept</x:v>
      </x:c>
      <x:c r="D15" s="32" t="str">
        <x:f>IF('Dev_Reviewer_B'!P15="","",'Dev_Reviewer_B'!P15)</x:f>
        <x:v>accept</x:v>
      </x:c>
      <x:c r="E15" s="32" t="str">
        <x:f>IF(OR(C15="",D15=""),"PENDING",IF(C15=D15,"AGREE","ADJUDICATE"))</x:f>
        <x:v>AGREE</x:v>
      </x:c>
      <x:c r="F15" s="26" t="str">
        <x:v>accept</x:v>
      </x:c>
      <x:c r="G15" s="26" t="str">
        <x:v>UNESCO tanımına göre çay geleneksel olarak hangi biçimdeki bardaklarda servis edilir?</x:v>
      </x:c>
      <x:c r="H15" s="26" t="str">
        <x:v>Armut biçimli bardak</x:v>
      </x:c>
      <x:c r="I15" s="26" t="str">
        <x:v>armut biçimli bardak | armut şeklinde bardak | armut biçimli bardaklar | armut şeklinde bardaklar</x:v>
      </x:c>
      <x:c r="J15" s="26" t="str">
        <x:v>CONCORDANT_REVIEW</x:v>
      </x:c>
      <x:c r="K15" s="26" t="str">
        <x:v>2026-08-25</x:v>
      </x:c>
      <x:c r="L15" s="26" t="str">
        <x:v>A06_other</x:v>
      </x:c>
      <x:c r="M15" s="26" t="str">
        <x:v>Accepted as written after concordant, complete independent review.</x:v>
      </x:c>
    </x:row>
    <x:row r="16" ht="46.5" customHeight="1">
      <x:c r="A16" s="14" t="str">
        <x:v>D011</x:v>
      </x:c>
      <x:c r="B16" s="14" t="str">
        <x:v>standard</x:v>
      </x:c>
      <x:c r="C16" s="32" t="str">
        <x:f>IF('Dev_Reviewer_A'!P16="","",'Dev_Reviewer_A'!P16)</x:f>
        <x:v>accept</x:v>
      </x:c>
      <x:c r="D16" s="32" t="str">
        <x:f>IF('Dev_Reviewer_B'!P16="","",'Dev_Reviewer_B'!P16)</x:f>
        <x:v>accept</x:v>
      </x:c>
      <x:c r="E16" s="32" t="str">
        <x:f>IF(OR(C16="",D16=""),"PENDING",IF(C16=D16,"AGREE","ADJUDICATE"))</x:f>
        <x:v>AGREE</x:v>
      </x:c>
      <x:c r="F16" s="26" t="str">
        <x:v>accept</x:v>
      </x:c>
      <x:c r="G16" s="26" t="str">
        <x:v>UNESCO kaydına göre Türkiye'de düğünlerde yassı ekmek kimlere verilir?</x:v>
      </x:c>
      <x:c r="H16" s="26" t="str">
        <x:v>Çiftin komşularına</x:v>
      </x:c>
      <x:c r="I16" s="26" t="str">
        <x:v>çiftin komşularına | yeni evli çiftin komşularına | komşulara</x:v>
      </x:c>
      <x:c r="J16" s="26" t="str">
        <x:v>CONCORDANT_REVIEW</x:v>
      </x:c>
      <x:c r="K16" s="26" t="str">
        <x:v>2026-08-25</x:v>
      </x:c>
      <x:c r="L16" s="26" t="str">
        <x:v>A06_other</x:v>
      </x:c>
      <x:c r="M16" s="26" t="str">
        <x:v>Accepted as written after concordant, complete independent review.</x:v>
      </x:c>
    </x:row>
    <x:row r="17" ht="46.5" customHeight="1">
      <x:c r="A17" s="14" t="str">
        <x:v>D012</x:v>
      </x:c>
      <x:c r="B17" s="14" t="str">
        <x:v>standard</x:v>
      </x:c>
      <x:c r="C17" s="32" t="str">
        <x:f>IF('Dev_Reviewer_A'!P17="","",'Dev_Reviewer_A'!P17)</x:f>
        <x:v>accept</x:v>
      </x:c>
      <x:c r="D17" s="32" t="str">
        <x:f>IF('Dev_Reviewer_B'!P17="","",'Dev_Reviewer_B'!P17)</x:f>
        <x:v>accept</x:v>
      </x:c>
      <x:c r="E17" s="32" t="str">
        <x:f>IF(OR(C17="",D17=""),"PENDING",IF(C17=D17,"AGREE","ADJUDICATE"))</x:f>
        <x:v>AGREE</x:v>
      </x:c>
      <x:c r="F17" s="26" t="str">
        <x:v>accept</x:v>
      </x:c>
      <x:c r="G17" s="26" t="str">
        <x:v>Törensel Keşkek geleneğinde buğday taşınırken hangi iki çalgı çalınır?</x:v>
      </x:c>
      <x:c r="H17" s="26" t="str">
        <x:v>Davul ve zurna</x:v>
      </x:c>
      <x:c r="I17" s="26" t="str">
        <x:v>davul ve zurna | zurna ve davul</x:v>
      </x:c>
      <x:c r="J17" s="26" t="str">
        <x:v>CONCORDANT_REVIEW</x:v>
      </x:c>
      <x:c r="K17" s="26" t="str">
        <x:v>2026-08-25</x:v>
      </x:c>
      <x:c r="L17" s="26" t="str">
        <x:v>A06_other</x:v>
      </x:c>
      <x:c r="M17" s="26" t="str">
        <x:v>Accepted as written after concordant, complete independent review.</x:v>
      </x:c>
    </x:row>
    <x:row r="18" ht="46.5" customHeight="1">
      <x:c r="A18" s="14" t="str">
        <x:v>D013</x:v>
      </x:c>
      <x:c r="B18" s="14" t="str">
        <x:v>standard</x:v>
      </x:c>
      <x:c r="C18" s="32" t="str">
        <x:f>IF('Dev_Reviewer_A'!P18="","",'Dev_Reviewer_A'!P18)</x:f>
        <x:v>accept</x:v>
      </x:c>
      <x:c r="D18" s="32" t="str">
        <x:f>IF('Dev_Reviewer_B'!P18="","",'Dev_Reviewer_B'!P18)</x:f>
        <x:v>accept</x:v>
      </x:c>
      <x:c r="E18" s="32" t="str">
        <x:f>IF(OR(C18="",D18=""),"PENDING",IF(C18=D18,"AGREE","ADJUDICATE"))</x:f>
        <x:v>AGREE</x:v>
      </x:c>
      <x:c r="F18" s="26" t="str">
        <x:v>accept</x:v>
      </x:c>
      <x:c r="G18" s="26" t="str">
        <x:v>Kültür Portalına göre aşurenin temsil ettiği iki temel kavram nedir?</x:v>
      </x:c>
      <x:c r="H18" s="26" t="str">
        <x:v>Bolluk ve bereket</x:v>
      </x:c>
      <x:c r="I18" s="26" t="str">
        <x:v>bolluk ve bereket | bereket ve bolluk</x:v>
      </x:c>
      <x:c r="J18" s="26" t="str">
        <x:v>CONCORDANT_REVIEW</x:v>
      </x:c>
      <x:c r="K18" s="26" t="str">
        <x:v>2026-08-25</x:v>
      </x:c>
      <x:c r="L18" s="26" t="str">
        <x:v>A06_other</x:v>
      </x:c>
      <x:c r="M18" s="26" t="str">
        <x:v>Accepted as written after concordant, complete independent review.</x:v>
      </x:c>
    </x:row>
    <x:row r="19" ht="46.5" customHeight="1">
      <x:c r="A19" s="14" t="str">
        <x:v>D014</x:v>
      </x:c>
      <x:c r="B19" s="14" t="str">
        <x:v>standard</x:v>
      </x:c>
      <x:c r="C19" s="32" t="str">
        <x:f>IF('Dev_Reviewer_A'!P19="","",'Dev_Reviewer_A'!P19)</x:f>
        <x:v>accept</x:v>
      </x:c>
      <x:c r="D19" s="32" t="str">
        <x:f>IF('Dev_Reviewer_B'!P19="","",'Dev_Reviewer_B'!P19)</x:f>
        <x:v>accept</x:v>
      </x:c>
      <x:c r="E19" s="32" t="str">
        <x:f>IF(OR(C19="",D19=""),"PENDING",IF(C19=D19,"AGREE","ADJUDICATE"))</x:f>
        <x:v>AGREE</x:v>
      </x:c>
      <x:c r="F19" s="26" t="str">
        <x:v>accept</x:v>
      </x:c>
      <x:c r="G19" s="26" t="str">
        <x:v>Tekirdağ'daki Herise geleneğinde düğün için hazırlanan yemekten özellikle hangi iki gruba gönderilir?</x:v>
      </x:c>
      <x:c r="H19" s="26" t="str">
        <x:v>Hasta ve yaşlılar</x:v>
      </x:c>
      <x:c r="I19" s="26" t="str">
        <x:v>hasta ve yaşlılar | yaşlı ve hastalar | hastalara ve yaşlılara | yaşlılara ve hastalara</x:v>
      </x:c>
      <x:c r="J19" s="26" t="str">
        <x:v>CONCORDANT_REVIEW</x:v>
      </x:c>
      <x:c r="K19" s="26" t="str">
        <x:v>2026-08-25</x:v>
      </x:c>
      <x:c r="L19" s="26" t="str">
        <x:v>A06_other</x:v>
      </x:c>
      <x:c r="M19" s="26" t="str">
        <x:v>Accepted as written after concordant, complete independent review.</x:v>
      </x:c>
    </x:row>
    <x:row r="20" ht="46.5" customHeight="1">
      <x:c r="A20" s="14" t="str">
        <x:v>D015</x:v>
      </x:c>
      <x:c r="B20" s="14" t="str">
        <x:v>standard</x:v>
      </x:c>
      <x:c r="C20" s="32" t="str">
        <x:f>IF('Dev_Reviewer_A'!P20="","",'Dev_Reviewer_A'!P20)</x:f>
        <x:v>accept</x:v>
      </x:c>
      <x:c r="D20" s="32" t="str">
        <x:f>IF('Dev_Reviewer_B'!P20="","",'Dev_Reviewer_B'!P20)</x:f>
        <x:v>accept</x:v>
      </x:c>
      <x:c r="E20" s="32" t="str">
        <x:f>IF(OR(C20="",D20=""),"PENDING",IF(C20=D20,"AGREE","ADJUDICATE"))</x:f>
        <x:v>AGREE</x:v>
      </x:c>
      <x:c r="F20" s="26" t="str">
        <x:v>accept</x:v>
      </x:c>
      <x:c r="G20" s="26" t="str">
        <x:v>Tarsus Humusunda nohutların ezildiği geleneksel bakır kabın adı nedir?</x:v>
      </x:c>
      <x:c r="H20" s="26" t="str">
        <x:v>Humus Tası</x:v>
      </x:c>
      <x:c r="I20" s="26" t="str">
        <x:v>humus tası | humus tasi</x:v>
      </x:c>
      <x:c r="J20" s="26" t="str">
        <x:v>CONCORDANT_REVIEW</x:v>
      </x:c>
      <x:c r="K20" s="26" t="str">
        <x:v>2026-08-25</x:v>
      </x:c>
      <x:c r="L20" s="26" t="str">
        <x:v>A06_other</x:v>
      </x:c>
      <x:c r="M20" s="26" t="str">
        <x:v>Accepted as written after concordant, complete independent review.</x:v>
      </x:c>
    </x:row>
    <x:row r="21" ht="46.5" customHeight="1">
      <x:c r="A21" s="14" t="str">
        <x:v>D016</x:v>
      </x:c>
      <x:c r="B21" s="14" t="str">
        <x:v>standard</x:v>
      </x:c>
      <x:c r="C21" s="32" t="str">
        <x:f>IF('Dev_Reviewer_A'!P21="","",'Dev_Reviewer_A'!P21)</x:f>
        <x:v>accept</x:v>
      </x:c>
      <x:c r="D21" s="32" t="str">
        <x:f>IF('Dev_Reviewer_B'!P21="","",'Dev_Reviewer_B'!P21)</x:f>
        <x:v>accept</x:v>
      </x:c>
      <x:c r="E21" s="32" t="str">
        <x:f>IF(OR(C21="",D21=""),"PENDING",IF(C21=D21,"AGREE","ADJUDICATE"))</x:f>
        <x:v>AGREE</x:v>
      </x:c>
      <x:c r="F21" s="26" t="str">
        <x:v>accept</x:v>
      </x:c>
      <x:c r="G21" s="26" t="str">
        <x:v>İzmir kültüründe lokmanın özel günlerde hazırlanarak halka ücretsiz dağıtılması geleneğine ne ad verilir?</x:v>
      </x:c>
      <x:c r="H21" s="26" t="str">
        <x:v>Lokma dökmek</x:v>
      </x:c>
      <x:c r="I21" s="26" t="str">
        <x:v>lokma dökmek | lokma döktürmek</x:v>
      </x:c>
      <x:c r="J21" s="26" t="str">
        <x:v>CONCORDANT_REVIEW</x:v>
      </x:c>
      <x:c r="K21" s="26" t="str">
        <x:v>2026-08-25</x:v>
      </x:c>
      <x:c r="L21" s="26" t="str">
        <x:v>A06_other</x:v>
      </x:c>
      <x:c r="M21" s="26" t="str">
        <x:v>Accepted as written after concordant, complete independent review.</x:v>
      </x:c>
    </x:row>
    <x:row r="22" ht="46.5" customHeight="1">
      <x:c r="A22" s="14" t="str">
        <x:v>D017</x:v>
      </x:c>
      <x:c r="B22" s="14" t="str">
        <x:v>enhanced</x:v>
      </x:c>
      <x:c r="C22" s="32" t="str">
        <x:f>IF('Dev_Reviewer_A'!P22="","",'Dev_Reviewer_A'!P22)</x:f>
        <x:v>accept</x:v>
      </x:c>
      <x:c r="D22" s="32" t="str">
        <x:f>IF('Dev_Reviewer_B'!P22="","",'Dev_Reviewer_B'!P22)</x:f>
        <x:v>accept</x:v>
      </x:c>
      <x:c r="E22" s="32" t="str">
        <x:f>IF(OR(C22="",D22=""),"PENDING",IF(C22=D22,"AGREE","ADJUDICATE"))</x:f>
        <x:v>AGREE</x:v>
      </x:c>
      <x:c r="F22" s="26" t="str">
        <x:v>accept</x:v>
      </x:c>
      <x:c r="G22" s="26" t="str">
        <x:v>İzmir'in bazı yörelerinde Sura'nın üzerine sarılan yağlı zar tabakasına verilen geleneksel adlardan biri nedir?</x:v>
      </x:c>
      <x:c r="H22" s="26" t="str">
        <x:v>Gömlek</x:v>
      </x:c>
      <x:c r="I22" s="26" t="str">
        <x:v>gömlek | çember</x:v>
      </x:c>
      <x:c r="J22" s="26" t="str">
        <x:v>CONCORDANT_REVIEW</x:v>
      </x:c>
      <x:c r="K22" s="26" t="str">
        <x:v>2026-08-25</x:v>
      </x:c>
      <x:c r="L22" s="26" t="str">
        <x:v>A06_other</x:v>
      </x:c>
      <x:c r="M22" s="26" t="str">
        <x:v>Accepted as written after concordant, complete independent review.</x:v>
      </x:c>
    </x:row>
    <x:row r="23" ht="46.5" customHeight="1">
      <x:c r="A23" s="14" t="str">
        <x:v>D018</x:v>
      </x:c>
      <x:c r="B23" s="14" t="str">
        <x:v>standard</x:v>
      </x:c>
      <x:c r="C23" s="32" t="str">
        <x:f>IF('Dev_Reviewer_A'!P23="","",'Dev_Reviewer_A'!P23)</x:f>
        <x:v>accept</x:v>
      </x:c>
      <x:c r="D23" s="32" t="str">
        <x:f>IF('Dev_Reviewer_B'!P23="","",'Dev_Reviewer_B'!P23)</x:f>
        <x:v>accept</x:v>
      </x:c>
      <x:c r="E23" s="32" t="str">
        <x:f>IF(OR(C23="",D23=""),"PENDING",IF(C23=D23,"AGREE","ADJUDICATE"))</x:f>
        <x:v>AGREE</x:v>
      </x:c>
      <x:c r="F23" s="26" t="str">
        <x:v>accept</x:v>
      </x:c>
      <x:c r="G23" s="26" t="str">
        <x:v>İzmir mutfağındaki cibez, Tire civarında hangi adla da bilinir?</x:v>
      </x:c>
      <x:c r="H23" s="26" t="str">
        <x:v>Cücük</x:v>
      </x:c>
      <x:c r="I23" s="26" t="str">
        <x:v>cücük</x:v>
      </x:c>
      <x:c r="J23" s="26" t="str">
        <x:v>CONCORDANT_REVIEW</x:v>
      </x:c>
      <x:c r="K23" s="26" t="str">
        <x:v>2026-08-25</x:v>
      </x:c>
      <x:c r="L23" s="26" t="str">
        <x:v>A06_other</x:v>
      </x:c>
      <x:c r="M23" s="26" t="str">
        <x:v>Accepted as written after concordant, complete independent review.</x:v>
      </x:c>
    </x:row>
    <x:row r="24" ht="46.5" customHeight="1">
      <x:c r="A24" s="14" t="str">
        <x:v>D019</x:v>
      </x:c>
      <x:c r="B24" s="14" t="str">
        <x:v>standard</x:v>
      </x:c>
      <x:c r="C24" s="32" t="str">
        <x:f>IF('Dev_Reviewer_A'!P24="","",'Dev_Reviewer_A'!P24)</x:f>
        <x:v>accept</x:v>
      </x:c>
      <x:c r="D24" s="32" t="str">
        <x:f>IF('Dev_Reviewer_B'!P24="","",'Dev_Reviewer_B'!P24)</x:f>
        <x:v>accept</x:v>
      </x:c>
      <x:c r="E24" s="32" t="str">
        <x:f>IF(OR(C24="",D24=""),"PENDING",IF(C24=D24,"AGREE","ADJUDICATE"))</x:f>
        <x:v>AGREE</x:v>
      </x:c>
      <x:c r="F24" s="26" t="str">
        <x:v>accept</x:v>
      </x:c>
      <x:c r="G24" s="26" t="str">
        <x:v>Edirne mutfağındaki Kaçamak başka hangi adla bilinir?</x:v>
      </x:c>
      <x:c r="H24" s="26" t="str">
        <x:v>Mamaliga</x:v>
      </x:c>
      <x:c r="I24" s="26" t="str">
        <x:v>mamaliga</x:v>
      </x:c>
      <x:c r="J24" s="26" t="str">
        <x:v>CONCORDANT_REVIEW</x:v>
      </x:c>
      <x:c r="K24" s="26" t="str">
        <x:v>2026-08-25</x:v>
      </x:c>
      <x:c r="L24" s="26" t="str">
        <x:v>A06_other</x:v>
      </x:c>
      <x:c r="M24" s="26" t="str">
        <x:v>Accepted as written after concordant, complete independent review.</x:v>
      </x:c>
    </x:row>
    <x:row r="25" ht="46.5" customHeight="1">
      <x:c r="A25" s="14" t="str">
        <x:v>D020</x:v>
      </x:c>
      <x:c r="B25" s="14" t="str">
        <x:v>standard</x:v>
      </x:c>
      <x:c r="C25" s="32" t="str">
        <x:f>IF('Dev_Reviewer_A'!P25="","",'Dev_Reviewer_A'!P25)</x:f>
        <x:v>accept</x:v>
      </x:c>
      <x:c r="D25" s="32" t="str">
        <x:f>IF('Dev_Reviewer_B'!P25="","",'Dev_Reviewer_B'!P25)</x:f>
        <x:v>accept</x:v>
      </x:c>
      <x:c r="E25" s="32" t="str">
        <x:f>IF(OR(C25="",D25=""),"PENDING",IF(C25=D25,"AGREE","ADJUDICATE"))</x:f>
        <x:v>AGREE</x:v>
      </x:c>
      <x:c r="F25" s="26" t="str">
        <x:v>accept</x:v>
      </x:c>
      <x:c r="G25" s="26" t="str">
        <x:v>Afyonkarahisar'da doğumdan sonra misafirlere ikram edilen sıra yemeklerine ne ad verilir?</x:v>
      </x:c>
      <x:c r="H25" s="26" t="str">
        <x:v>Takım</x:v>
      </x:c>
      <x:c r="I25" s="26" t="str">
        <x:v>takım</x:v>
      </x:c>
      <x:c r="J25" s="26" t="str">
        <x:v>CONCORDANT_REVIEW</x:v>
      </x:c>
      <x:c r="K25" s="26" t="str">
        <x:v>2026-08-25</x:v>
      </x:c>
      <x:c r="L25" s="26" t="str">
        <x:v>A06_other</x:v>
      </x:c>
      <x:c r="M25" s="26" t="str">
        <x:v>Accepted as written after concordant, complete independent review.</x:v>
      </x:c>
    </x:row>
    <x:row r="26" ht="46.5" customHeight="1">
      <x:c r="A26" s="14" t="str">
        <x:v>D021</x:v>
      </x:c>
      <x:c r="B26" s="14" t="str">
        <x:v>enhanced</x:v>
      </x:c>
      <x:c r="C26" s="32" t="str">
        <x:f>IF('Dev_Reviewer_A'!P26="","",'Dev_Reviewer_A'!P26)</x:f>
        <x:v>revise</x:v>
      </x:c>
      <x:c r="D26" s="32" t="str">
        <x:f>IF('Dev_Reviewer_B'!P26="","",'Dev_Reviewer_B'!P26)</x:f>
        <x:v>accept</x:v>
      </x:c>
      <x:c r="E26" s="32" t="str">
        <x:f>IF(OR(C26="",D26=""),"PENDING",IF(C26=D26,"AGREE","ADJUDICATE"))</x:f>
        <x:v>ADJUDICATE</x:v>
      </x:c>
      <x:c r="F26" s="26" t="str">
        <x:v>revise</x:v>
      </x:c>
      <x:c r="G26" s="26" t="str">
        <x:v>Afyonkarahisar'da nişan töreninin ertesi günü yapılan geleneksel yemekli davetin adı nedir?</x:v>
      </x:c>
      <x:c r="H26" s="26" t="str">
        <x:v>Zinardı daveti</x:v>
      </x:c>
      <x:c r="I26" s="26" t="str">
        <x:v>zinardı daveti | zinardı | sini ardı daveti | sini ardı</x:v>
      </x:c>
      <x:c r="J26" s="26" t="str">
        <x:v>ADJ-01</x:v>
      </x:c>
      <x:c r="K26" s="26" t="str">
        <x:v>2026-08-25</x:v>
      </x:c>
      <x:c r="L26" s="26" t="str">
        <x:v>A02_clarity</x:v>
      </x:c>
      <x:c r="M26" s="26" t="str">
        <x:v>Independent adjudicator note 'nişan töreninin ertesi günü' was transcribed by the lead researcher; final wording was source-checked.</x:v>
      </x:c>
    </x:row>
    <x:row r="27" ht="46.5" customHeight="1">
      <x:c r="A27" s="14" t="str">
        <x:v>D022</x:v>
      </x:c>
      <x:c r="B27" s="14" t="str">
        <x:v>standard</x:v>
      </x:c>
      <x:c r="C27" s="32" t="str">
        <x:f>IF('Dev_Reviewer_A'!P27="","",'Dev_Reviewer_A'!P27)</x:f>
        <x:v>accept</x:v>
      </x:c>
      <x:c r="D27" s="32" t="str">
        <x:f>IF('Dev_Reviewer_B'!P27="","",'Dev_Reviewer_B'!P27)</x:f>
        <x:v>accept</x:v>
      </x:c>
      <x:c r="E27" s="32" t="str">
        <x:f>IF(OR(C27="",D27=""),"PENDING",IF(C27=D27,"AGREE","ADJUDICATE"))</x:f>
        <x:v>AGREE</x:v>
      </x:c>
      <x:c r="F27" s="26" t="str">
        <x:v>revise</x:v>
      </x:c>
      <x:c r="G27" s="26" t="str">
        <x:v>Afyon mutfak kültüründe yer alan sıra yemeğinde, yemeklerin sofraya geliş sırasını düzenleme işine ne ad verilir?</x:v>
      </x:c>
      <x:c r="H27" s="26" t="str">
        <x:v>Yemek kurtarma</x:v>
      </x:c>
      <x:c r="I27" s="26" t="str">
        <x:v>yemek kurtarma</x:v>
      </x:c>
      <x:c r="J27" s="26" t="str">
        <x:v>ADJ-01</x:v>
      </x:c>
      <x:c r="K27" s="26" t="str">
        <x:v>2026-08-25</x:v>
      </x:c>
      <x:c r="L27" s="26" t="str">
        <x:v>A02_clarity</x:v>
      </x:c>
      <x:c r="M27" s="26" t="str">
        <x:v>Independent adjudicator note 'afyon mutfak kültüründe yer alan sıra yemeğinde' was transcribed by the lead researcher; final wording was source-checked.</x:v>
      </x:c>
    </x:row>
    <x:row r="28" ht="46.5" customHeight="1">
      <x:c r="A28" s="14" t="str">
        <x:v>D023</x:v>
      </x:c>
      <x:c r="B28" s="14" t="str">
        <x:v>standard</x:v>
      </x:c>
      <x:c r="C28" s="32" t="str">
        <x:f>IF('Dev_Reviewer_A'!P28="","",'Dev_Reviewer_A'!P28)</x:f>
        <x:v>accept</x:v>
      </x:c>
      <x:c r="D28" s="32" t="str">
        <x:f>IF('Dev_Reviewer_B'!P28="","",'Dev_Reviewer_B'!P28)</x:f>
        <x:v>accept</x:v>
      </x:c>
      <x:c r="E28" s="32" t="str">
        <x:f>IF(OR(C28="",D28=""),"PENDING",IF(C28=D28,"AGREE","ADJUDICATE"))</x:f>
        <x:v>AGREE</x:v>
      </x:c>
      <x:c r="F28" s="26" t="str">
        <x:v>accept</x:v>
      </x:c>
      <x:c r="G28" s="26" t="str">
        <x:v>Kuru Antep Baklavasında raf ömrünü uzatmak amacıyla kullanılmayan bileşen nedir?</x:v>
      </x:c>
      <x:c r="H28" s="26" t="str">
        <x:v>Kaymak</x:v>
      </x:c>
      <x:c r="I28" s="26" t="str">
        <x:v>kaymak</x:v>
      </x:c>
      <x:c r="J28" s="26" t="str">
        <x:v>CONCORDANT_REVIEW</x:v>
      </x:c>
      <x:c r="K28" s="26" t="str">
        <x:v>2026-08-25</x:v>
      </x:c>
      <x:c r="L28" s="26" t="str">
        <x:v>A06_other</x:v>
      </x:c>
      <x:c r="M28" s="26" t="str">
        <x:v>Accepted as written after concordant, complete independent review.</x:v>
      </x:c>
    </x:row>
    <x:row r="29" ht="46.5" customHeight="1">
      <x:c r="A29" s="14" t="str">
        <x:v>D024</x:v>
      </x:c>
      <x:c r="B29" s="14" t="str">
        <x:v>enhanced</x:v>
      </x:c>
      <x:c r="C29" s="32" t="str">
        <x:f>IF('Dev_Reviewer_A'!P29="","",'Dev_Reviewer_A'!P29)</x:f>
        <x:v>accept</x:v>
      </x:c>
      <x:c r="D29" s="32" t="str">
        <x:f>IF('Dev_Reviewer_B'!P29="","",'Dev_Reviewer_B'!P29)</x:f>
        <x:v>accept</x:v>
      </x:c>
      <x:c r="E29" s="32" t="str">
        <x:f>IF(OR(C29="",D29=""),"PENDING",IF(C29=D29,"AGREE","ADJUDICATE"))</x:f>
        <x:v>AGREE</x:v>
      </x:c>
      <x:c r="F29" s="26" t="str">
        <x:v>accept</x:v>
      </x:c>
      <x:c r="G29" s="26" t="str">
        <x:v>Maraş Tarhanası üretiminde yoğurt, dövmeye hangi aşamada eklenir?</x:v>
      </x:c>
      <x:c r="H29" s="26" t="str">
        <x:v>Pişirme ve soğutma sonrasında</x:v>
      </x:c>
      <x:c r="I29" s="26" t="str">
        <x:v>pişirme ve soğutma sonrasında | pişirmeden ve soğutmadan sonra | dövme pişirilip soğutulduktan sonra | pişmiş dövme soğutulduktan sonra</x:v>
      </x:c>
      <x:c r="J29" s="26" t="str">
        <x:v>CONCORDANT_REVIEW</x:v>
      </x:c>
      <x:c r="K29" s="26" t="str">
        <x:v>2026-08-25</x:v>
      </x:c>
      <x:c r="L29" s="26" t="str">
        <x:v>A06_other</x:v>
      </x:c>
      <x:c r="M29" s="26" t="str">
        <x:v>Accepted as written after concordant, complete independent review.</x:v>
      </x:c>
    </x:row>
    <x:row r="30" ht="46.5" customHeight="1">
      <x:c r="A30" s="14" t="str">
        <x:v>D025</x:v>
      </x:c>
      <x:c r="B30" s="14" t="str">
        <x:v>standard</x:v>
      </x:c>
      <x:c r="C30" s="32" t="str">
        <x:f>IF('Dev_Reviewer_A'!P30="","",'Dev_Reviewer_A'!P30)</x:f>
        <x:v>accept</x:v>
      </x:c>
      <x:c r="D30" s="32" t="str">
        <x:f>IF('Dev_Reviewer_B'!P30="","",'Dev_Reviewer_B'!P30)</x:f>
        <x:v>accept</x:v>
      </x:c>
      <x:c r="E30" s="32" t="str">
        <x:f>IF(OR(C30="",D30=""),"PENDING",IF(C30=D30,"AGREE","ADJUDICATE"))</x:f>
        <x:v>AGREE</x:v>
      </x:c>
      <x:c r="F30" s="26" t="str">
        <x:v>accept</x:v>
      </x:c>
      <x:c r="G30" s="26" t="str">
        <x:v>Afyon Sucuğu hamuru hangi tür bağırsağa doldurulur?</x:v>
      </x:c>
      <x:c r="H30" s="26" t="str">
        <x:v>Sığır bağırsağı</x:v>
      </x:c>
      <x:c r="I30" s="26" t="str">
        <x:v>sığır bağırsağı | sığır bağırsağına</x:v>
      </x:c>
      <x:c r="J30" s="26" t="str">
        <x:v>CONCORDANT_REVIEW</x:v>
      </x:c>
      <x:c r="K30" s="26" t="str">
        <x:v>2026-08-25</x:v>
      </x:c>
      <x:c r="L30" s="26" t="str">
        <x:v>A06_other</x:v>
      </x:c>
      <x:c r="M30" s="26" t="str">
        <x:v>Accepted as written after concordant, complete independent review.</x:v>
      </x:c>
    </x:row>
    <x:row r="31" ht="46.5" customHeight="1">
      <x:c r="A31" s="14" t="str">
        <x:v>D026</x:v>
      </x:c>
      <x:c r="B31" s="14" t="str">
        <x:v>standard</x:v>
      </x:c>
      <x:c r="C31" s="32" t="str">
        <x:f>IF('Dev_Reviewer_A'!P31="","",'Dev_Reviewer_A'!P31)</x:f>
        <x:v>accept</x:v>
      </x:c>
      <x:c r="D31" s="32" t="str">
        <x:f>IF('Dev_Reviewer_B'!P31="","",'Dev_Reviewer_B'!P31)</x:f>
        <x:v>accept</x:v>
      </x:c>
      <x:c r="E31" s="32" t="str">
        <x:f>IF(OR(C31="",D31=""),"PENDING",IF(C31=D31,"AGREE","ADJUDICATE"))</x:f>
        <x:v>AGREE</x:v>
      </x:c>
      <x:c r="F31" s="26" t="str">
        <x:v>accept</x:v>
      </x:c>
      <x:c r="G31" s="26" t="str">
        <x:v>Malatya Kâğıt Kebabının taş fırını geleneksel olarak hangi odunla ısıtılır?</x:v>
      </x:c>
      <x:c r="H31" s="26" t="str">
        <x:v>Meşe odunu</x:v>
      </x:c>
      <x:c r="I31" s="26" t="str">
        <x:v>meşe odunu | meşe</x:v>
      </x:c>
      <x:c r="J31" s="26" t="str">
        <x:v>CONCORDANT_REVIEW</x:v>
      </x:c>
      <x:c r="K31" s="26" t="str">
        <x:v>2026-08-25</x:v>
      </x:c>
      <x:c r="L31" s="26" t="str">
        <x:v>A06_other</x:v>
      </x:c>
      <x:c r="M31" s="26" t="str">
        <x:v>Accepted as written after concordant, complete independent review.</x:v>
      </x:c>
    </x:row>
    <x:row r="32" ht="46.5" customHeight="1">
      <x:c r="A32" s="14" t="str">
        <x:v>D027</x:v>
      </x:c>
      <x:c r="B32" s="14" t="str">
        <x:v>standard</x:v>
      </x:c>
      <x:c r="C32" s="32" t="str">
        <x:f>IF('Dev_Reviewer_A'!P32="","",'Dev_Reviewer_A'!P32)</x:f>
        <x:v>accept</x:v>
      </x:c>
      <x:c r="D32" s="32" t="str">
        <x:f>IF('Dev_Reviewer_B'!P32="","",'Dev_Reviewer_B'!P32)</x:f>
        <x:v>accept</x:v>
      </x:c>
      <x:c r="E32" s="32" t="str">
        <x:f>IF(OR(C32="",D32=""),"PENDING",IF(C32=D32,"AGREE","ADJUDICATE"))</x:f>
        <x:v>AGREE</x:v>
      </x:c>
      <x:c r="F32" s="26" t="str">
        <x:v>accept</x:v>
      </x:c>
      <x:c r="G32" s="26" t="str">
        <x:v>Ordu Tostu için üretilen özel ekmek geleneksel olarak hangi yakıtla pişirilir?</x:v>
      </x:c>
      <x:c r="H32" s="26" t="str">
        <x:v>Fındık kabuğu</x:v>
      </x:c>
      <x:c r="I32" s="26" t="str">
        <x:v>fındık kabuğu | fındık kabuğu ateşi | fındık kabuğu ateşinde</x:v>
      </x:c>
      <x:c r="J32" s="26" t="str">
        <x:v>CONCORDANT_REVIEW</x:v>
      </x:c>
      <x:c r="K32" s="26" t="str">
        <x:v>2026-08-25</x:v>
      </x:c>
      <x:c r="L32" s="26" t="str">
        <x:v>A06_other</x:v>
      </x:c>
      <x:c r="M32" s="26" t="str">
        <x:v>Accepted as written after concordant, complete independent review.</x:v>
      </x:c>
    </x:row>
    <x:row r="33" ht="46.5" customHeight="1">
      <x:c r="A33" s="14" t="str">
        <x:v>D028</x:v>
      </x:c>
      <x:c r="B33" s="14" t="str">
        <x:v>enhanced</x:v>
      </x:c>
      <x:c r="C33" s="32" t="str">
        <x:f>IF('Dev_Reviewer_A'!P33="","",'Dev_Reviewer_A'!P33)</x:f>
        <x:v>accept</x:v>
      </x:c>
      <x:c r="D33" s="32" t="str">
        <x:f>IF('Dev_Reviewer_B'!P33="","",'Dev_Reviewer_B'!P33)</x:f>
        <x:v>accept</x:v>
      </x:c>
      <x:c r="E33" s="32" t="str">
        <x:f>IF(OR(C33="",D33=""),"PENDING",IF(C33=D33,"AGREE","ADJUDICATE"))</x:f>
        <x:v>AGREE</x:v>
      </x:c>
      <x:c r="F33" s="26" t="str">
        <x:v>accept</x:v>
      </x:c>
      <x:c r="G33" s="26" t="str">
        <x:v>Tekirdağ Bulamasında köpük oluşturmak amacıyla kullanılan geleneksel bitkisel bileşen nedir?</x:v>
      </x:c>
      <x:c r="H33" s="26" t="str">
        <x:v>Çöven</x:v>
      </x:c>
      <x:c r="I33" s="26" t="str">
        <x:v>çöven | çöğen</x:v>
      </x:c>
      <x:c r="J33" s="26" t="str">
        <x:v>CONCORDANT_REVIEW</x:v>
      </x:c>
      <x:c r="K33" s="26" t="str">
        <x:v>2026-08-25</x:v>
      </x:c>
      <x:c r="L33" s="26" t="str">
        <x:v>A06_other</x:v>
      </x:c>
      <x:c r="M33" s="26" t="str">
        <x:v>Accepted as written after concordant, complete independent review.</x:v>
      </x:c>
    </x:row>
    <x:row r="34" ht="46.5" customHeight="1">
      <x:c r="A34" s="14" t="str">
        <x:v>D029</x:v>
      </x:c>
      <x:c r="B34" s="14" t="str">
        <x:v>standard</x:v>
      </x:c>
      <x:c r="C34" s="32" t="str">
        <x:f>IF('Dev_Reviewer_A'!P34="","",'Dev_Reviewer_A'!P34)</x:f>
        <x:v>accept</x:v>
      </x:c>
      <x:c r="D34" s="32" t="str">
        <x:f>IF('Dev_Reviewer_B'!P34="","",'Dev_Reviewer_B'!P34)</x:f>
        <x:v>accept</x:v>
      </x:c>
      <x:c r="E34" s="32" t="str">
        <x:f>IF(OR(C34="",D34=""),"PENDING",IF(C34=D34,"AGREE","ADJUDICATE"))</x:f>
        <x:v>AGREE</x:v>
      </x:c>
      <x:c r="F34" s="26" t="str">
        <x:v>accept</x:v>
      </x:c>
      <x:c r="G34" s="26" t="str">
        <x:v>Türk kahvesi içildikten sonra fincanda kalan telve geleneksel olarak hangi uygulamada kullanılır?</x:v>
      </x:c>
      <x:c r="H34" s="26" t="str">
        <x:v>Fal bakmak</x:v>
      </x:c>
      <x:c r="I34" s="26" t="str">
        <x:v>fal bakmak | kahve falı | kahve falı bakmak | falcılık</x:v>
      </x:c>
      <x:c r="J34" s="26" t="str">
        <x:v>CONCORDANT_REVIEW</x:v>
      </x:c>
      <x:c r="K34" s="26" t="str">
        <x:v>2026-08-25</x:v>
      </x:c>
      <x:c r="L34" s="26" t="str">
        <x:v>A06_other</x:v>
      </x:c>
      <x:c r="M34" s="26" t="str">
        <x:v>Accepted as written after concordant, complete independent review.</x:v>
      </x:c>
    </x:row>
    <x:row r="35" ht="46.5" customHeight="1">
      <x:c r="A35" s="14" t="str">
        <x:v>D030</x:v>
      </x:c>
      <x:c r="B35" s="14" t="str">
        <x:v>standard</x:v>
      </x:c>
      <x:c r="C35" s="32" t="str">
        <x:f>IF('Dev_Reviewer_A'!P35="","",'Dev_Reviewer_A'!P35)</x:f>
        <x:v>accept</x:v>
      </x:c>
      <x:c r="D35" s="32" t="str">
        <x:f>IF('Dev_Reviewer_B'!P35="","",'Dev_Reviewer_B'!P35)</x:f>
        <x:v>accept</x:v>
      </x:c>
      <x:c r="E35" s="32" t="str">
        <x:f>IF(OR(C35="",D35=""),"PENDING",IF(C35=D35,"AGREE","ADJUDICATE"))</x:f>
        <x:v>AGREE</x:v>
      </x:c>
      <x:c r="F35" s="26" t="str">
        <x:v>accept</x:v>
      </x:c>
      <x:c r="G35" s="26" t="str">
        <x:v>Türkiye ile birlikte Çay Kültürü unsurunu UNESCO'ya ortak kaydettiren ülke hangisidir?</x:v>
      </x:c>
      <x:c r="H35" s="26" t="str">
        <x:v>Azerbaycan</x:v>
      </x:c>
      <x:c r="I35" s="26" t="str">
        <x:v>azerbaycan | azerbaijan</x:v>
      </x:c>
      <x:c r="J35" s="26" t="str">
        <x:v>CONCORDANT_REVIEW</x:v>
      </x:c>
      <x:c r="K35" s="26" t="str">
        <x:v>2026-08-25</x:v>
      </x:c>
      <x:c r="L35" s="26" t="str">
        <x:v>A06_other</x:v>
      </x:c>
      <x:c r="M35" s="26" t="str">
        <x:v>Accepted as written after concordant, complete independent review.</x:v>
      </x:c>
    </x:row>
    <x:row r="36" ht="46.5" customHeight="1">
      <x:c r="A36" s="14" t="str">
        <x:v>D031</x:v>
      </x:c>
      <x:c r="B36" s="14" t="str">
        <x:v>standard</x:v>
      </x:c>
      <x:c r="C36" s="32" t="str">
        <x:f>IF('Dev_Reviewer_A'!P36="","",'Dev_Reviewer_A'!P36)</x:f>
        <x:v>accept</x:v>
      </x:c>
      <x:c r="D36" s="32" t="str">
        <x:f>IF('Dev_Reviewer_B'!P36="","",'Dev_Reviewer_B'!P36)</x:f>
        <x:v>accept</x:v>
      </x:c>
      <x:c r="E36" s="32" t="str">
        <x:f>IF(OR(C36="",D36=""),"PENDING",IF(C36=D36,"AGREE","ADJUDICATE"))</x:f>
        <x:v>AGREE</x:v>
      </x:c>
      <x:c r="F36" s="26" t="str">
        <x:v>accept</x:v>
      </x:c>
      <x:c r="G36" s="26" t="str">
        <x:v>Geleneksel yassı ekmek yapımı aile dışında hangi öğrenme ilişkisiyle aktarılır?</x:v>
      </x:c>
      <x:c r="H36" s="26" t="str">
        <x:v>Usta-çırak</x:v>
      </x:c>
      <x:c r="I36" s="26" t="str">
        <x:v>usta-çırak | usta çırak | ustadan çırağa | usta-çırak ilişkisi</x:v>
      </x:c>
      <x:c r="J36" s="26" t="str">
        <x:v>CONCORDANT_REVIEW</x:v>
      </x:c>
      <x:c r="K36" s="26" t="str">
        <x:v>2026-08-25</x:v>
      </x:c>
      <x:c r="L36" s="26" t="str">
        <x:v>A06_other</x:v>
      </x:c>
      <x:c r="M36" s="26" t="str">
        <x:v>Accepted as written after concordant, complete independent review.</x:v>
      </x:c>
    </x:row>
    <x:row r="37" ht="46.5" customHeight="1">
      <x:c r="A37" s="14" t="str">
        <x:v>D032</x:v>
      </x:c>
      <x:c r="B37" s="14" t="str">
        <x:v>standard</x:v>
      </x:c>
      <x:c r="C37" s="32" t="str">
        <x:f>IF('Dev_Reviewer_A'!P37="","",'Dev_Reviewer_A'!P37)</x:f>
        <x:v>accept</x:v>
      </x:c>
      <x:c r="D37" s="32" t="str">
        <x:f>IF('Dev_Reviewer_B'!P37="","",'Dev_Reviewer_B'!P37)</x:f>
        <x:v>accept</x:v>
      </x:c>
      <x:c r="E37" s="32" t="str">
        <x:f>IF(OR(C37="",D37=""),"PENDING",IF(C37=D37,"AGREE","ADJUDICATE"))</x:f>
        <x:v>AGREE</x:v>
      </x:c>
      <x:c r="F37" s="26" t="str">
        <x:v>accept</x:v>
      </x:c>
      <x:c r="G37" s="26" t="str">
        <x:v>Törensel Keşkek geleneğinde buğday, törenden önceki gün hangi uygulama eşliğinde yıkanır?</x:v>
      </x:c>
      <x:c r="H37" s="26" t="str">
        <x:v>Dua</x:v>
      </x:c>
      <x:c r="I37" s="26" t="str">
        <x:v>dua | dualar | dua ederek | dualarla</x:v>
      </x:c>
      <x:c r="J37" s="26" t="str">
        <x:v>CONCORDANT_REVIEW</x:v>
      </x:c>
      <x:c r="K37" s="26" t="str">
        <x:v>2026-08-25</x:v>
      </x:c>
      <x:c r="L37" s="26" t="str">
        <x:v>A06_other</x:v>
      </x:c>
      <x:c r="M37" s="26" t="str">
        <x:v>Accepted as written after concordant, complete independent review.</x:v>
      </x:c>
    </x:row>
    <x:row r="38" ht="46.5" customHeight="1">
      <x:c r="A38" s="14" t="str">
        <x:v>D033</x:v>
      </x:c>
      <x:c r="B38" s="14" t="str">
        <x:v>standard</x:v>
      </x:c>
      <x:c r="C38" s="32" t="str">
        <x:f>IF('Dev_Reviewer_A'!P38="","",'Dev_Reviewer_A'!P38)</x:f>
        <x:v>accept</x:v>
      </x:c>
      <x:c r="D38" s="32" t="str">
        <x:f>IF('Dev_Reviewer_B'!P38="","",'Dev_Reviewer_B'!P38)</x:f>
        <x:v>accept</x:v>
      </x:c>
      <x:c r="E38" s="32" t="str">
        <x:f>IF(OR(C38="",D38=""),"PENDING",IF(C38=D38,"AGREE","ADJUDICATE"))</x:f>
        <x:v>AGREE</x:v>
      </x:c>
      <x:c r="F38" s="26" t="str">
        <x:v>accept</x:v>
      </x:c>
      <x:c r="G38" s="26" t="str">
        <x:v>Mesir Macunu Festivali tarihsel olarak kimin iyileşmesini anar?</x:v>
      </x:c>
      <x:c r="H38" s="26" t="str">
        <x:v>Hafsa Sultan</x:v>
      </x:c>
      <x:c r="I38" s="26" t="str">
        <x:v>hafsa sultan | ayşe hafsa sultan</x:v>
      </x:c>
      <x:c r="J38" s="26" t="str">
        <x:v>CONCORDANT_REVIEW</x:v>
      </x:c>
      <x:c r="K38" s="26" t="str">
        <x:v>2026-08-25</x:v>
      </x:c>
      <x:c r="L38" s="26" t="str">
        <x:v>A06_other</x:v>
      </x:c>
      <x:c r="M38" s="26" t="str">
        <x:v>Accepted as written after concordant, complete independent review.</x:v>
      </x:c>
    </x:row>
    <x:row r="39" ht="46.5" customHeight="1">
      <x:c r="A39" s="14" t="str">
        <x:v>D034</x:v>
      </x:c>
      <x:c r="B39" s="14" t="str">
        <x:v>standard</x:v>
      </x:c>
      <x:c r="C39" s="32" t="str">
        <x:f>IF('Dev_Reviewer_A'!P39="","",'Dev_Reviewer_A'!P39)</x:f>
        <x:v>accept</x:v>
      </x:c>
      <x:c r="D39" s="32" t="str">
        <x:f>IF('Dev_Reviewer_B'!P39="","",'Dev_Reviewer_B'!P39)</x:f>
        <x:v>accept</x:v>
      </x:c>
      <x:c r="E39" s="32" t="str">
        <x:f>IF(OR(C39="",D39=""),"PENDING",IF(C39=D39,"AGREE","ADJUDICATE"))</x:f>
        <x:v>AGREE</x:v>
      </x:c>
      <x:c r="F39" s="26" t="str">
        <x:v>revise</x:v>
      </x:c>
      <x:c r="G39" s="26" t="str">
        <x:v>Türkiye'de güllaç geleneksel olarak hangi ayla özdeşleşir?</x:v>
      </x:c>
      <x:c r="H39" s="26" t="str">
        <x:v>Ramazan</x:v>
      </x:c>
      <x:c r="I39" s="26" t="str">
        <x:v>ramazan | ramazan ayı</x:v>
      </x:c>
      <x:c r="J39" s="26" t="str">
        <x:v>ADJ-01</x:v>
      </x:c>
      <x:c r="K39" s="26" t="str">
        <x:v>2026-08-25</x:v>
      </x:c>
      <x:c r="L39" s="26" t="str">
        <x:v>A02_clarity</x:v>
      </x:c>
      <x:c r="M39" s="26" t="str">
        <x:v>Independent adjudicator note 'dönem kelimesi çıkartılmalı' was transcribed by the lead researcher; final wording was source-checked.</x:v>
      </x:c>
    </x:row>
    <x:row r="40" ht="46.5" customHeight="1">
      <x:c r="A40" s="14" t="str">
        <x:v>D035</x:v>
      </x:c>
      <x:c r="B40" s="14" t="str">
        <x:v>standard</x:v>
      </x:c>
      <x:c r="C40" s="32" t="str">
        <x:f>IF('Dev_Reviewer_A'!P40="","",'Dev_Reviewer_A'!P40)</x:f>
        <x:v>accept</x:v>
      </x:c>
      <x:c r="D40" s="32" t="str">
        <x:f>IF('Dev_Reviewer_B'!P40="","",'Dev_Reviewer_B'!P40)</x:f>
        <x:v>accept</x:v>
      </x:c>
      <x:c r="E40" s="32" t="str">
        <x:f>IF(OR(C40="",D40=""),"PENDING",IF(C40=D40,"AGREE","ADJUDICATE"))</x:f>
        <x:v>AGREE</x:v>
      </x:c>
      <x:c r="F40" s="26" t="str">
        <x:v>accept</x:v>
      </x:c>
      <x:c r="G40" s="26" t="str">
        <x:v>Afyon Sucuğunda manda etinin asgari oranı yüzde kaçtır?</x:v>
      </x:c>
      <x:c r="H40" s="26" t="str">
        <x:v>En az %15</x:v>
      </x:c>
      <x:c r="I40" s="26" t="str">
        <x:v>15 | %15 | yüzde 15 | en az %15 | en az yüzde 15</x:v>
      </x:c>
      <x:c r="J40" s="26" t="str">
        <x:v>CONCORDANT_REVIEW</x:v>
      </x:c>
      <x:c r="K40" s="26" t="str">
        <x:v>2026-08-25</x:v>
      </x:c>
      <x:c r="L40" s="26" t="str">
        <x:v>A06_other</x:v>
      </x:c>
      <x:c r="M40" s="26" t="str">
        <x:v>Accepted as written after concordant, complete independent review.</x:v>
      </x:c>
    </x:row>
    <x:row r="41" ht="46.5" customHeight="1">
      <x:c r="A41" s="14" t="str">
        <x:v>D036</x:v>
      </x:c>
      <x:c r="B41" s="14" t="str">
        <x:v>enhanced</x:v>
      </x:c>
      <x:c r="C41" s="32" t="str">
        <x:f>IF('Dev_Reviewer_A'!P41="","",'Dev_Reviewer_A'!P41)</x:f>
        <x:v>accept</x:v>
      </x:c>
      <x:c r="D41" s="32" t="str">
        <x:f>IF('Dev_Reviewer_B'!P41="","",'Dev_Reviewer_B'!P41)</x:f>
        <x:v>accept</x:v>
      </x:c>
      <x:c r="E41" s="32" t="str">
        <x:f>IF(OR(C41="",D41=""),"PENDING",IF(C41=D41,"AGREE","ADJUDICATE"))</x:f>
        <x:v>AGREE</x:v>
      </x:c>
      <x:c r="F41" s="26" t="str">
        <x:v>accept</x:v>
      </x:c>
      <x:c r="G41" s="26" t="str">
        <x:v>Törensel Keşkek hazırlığında buğday taş havanda kaç kişi tarafından dövülür?</x:v>
      </x:c>
      <x:c r="H41" s="26" t="str">
        <x:v>2–4 kişi</x:v>
      </x:c>
      <x:c r="I41" s="26" t="str">
        <x:v>2-4 | 2–4 | 2 ila 4 | iki ila dört | iki-dört kişi</x:v>
      </x:c>
      <x:c r="J41" s="26" t="str">
        <x:v>CONCORDANT_REVIEW</x:v>
      </x:c>
      <x:c r="K41" s="26" t="str">
        <x:v>2026-08-25</x:v>
      </x:c>
      <x:c r="L41" s="26" t="str">
        <x:v>A06_other</x:v>
      </x:c>
      <x:c r="M41" s="26" t="str">
        <x:v>Accepted as written after concordant, complete independent review.</x:v>
      </x:c>
    </x:row>
  </x:sheetData>
  <x:mergeCells>
    <x:mergeCell ref="A1:M1"/>
    <x:mergeCell ref="A2:M2"/>
  </x:mergeCells>
  <x:dataValidations count="2">
    <x:dataValidation type="list" sqref="F6:F41">
      <x:formula1>"accept,revise,exclude"</x:formula1>
    </x:dataValidation>
    <x:dataValidation type="list" sqref="L6:L41">
      <x:formula1>"A01_source,A02_clarity,A03_gold,A04_accepted,A05_risk,A06_other"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3adcc841642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25" hidden="0" customWidth="1"/>
    <x:col min="3" max="3" width="27.5" hidden="0" customWidth="1"/>
    <x:col min="4" max="4" width="11.880000114440918" hidden="0" customWidth="1"/>
    <x:col min="5" max="5" width="12.5" hidden="0" customWidth="1"/>
    <x:col min="6" max="6" width="12.5" hidden="0" customWidth="1"/>
    <x:col min="7" max="7" width="11.880000114440918" hidden="0" customWidth="1"/>
    <x:col min="8" max="8" width="13.130000114440918" hidden="0" customWidth="1"/>
    <x:col min="9" max="9" width="15.630000114440918" hidden="0" customWidth="1"/>
    <x:col min="10" max="10" width="14.380000114440918" hidden="0" customWidth="1"/>
    <x:col min="11" max="11" width="11.880000114440918" hidden="0" customWidth="1"/>
    <x:col min="12" max="12" width="11.25" hidden="0" customWidth="1"/>
    <x:col min="13" max="13" width="14.380000114440918" hidden="0" customWidth="1"/>
    <x:col min="14" max="14" width="14.380000114440918" hidden="0" customWidth="1"/>
    <x:col min="15" max="15" width="15" hidden="0" customWidth="1"/>
  </x:cols>
  <x:sheetData>
    <x:row r="1" ht="28.5" customHeight="1">
      <x:c r="A1" s="3" t="str">
        <x:v>Main Benchmark — Risk-Based Reviewer Assignment</x:v>
      </x:c>
      <x:c r="B1" s="3" t="str">
        <x:v>Main Benchmark — Risk-Based Reviewer Assignment</x:v>
      </x:c>
      <x:c r="C1" s="3" t="str">
        <x:v>Main Benchmark — Risk-Based Reviewer Assignment</x:v>
      </x:c>
      <x:c r="D1" s="3" t="str">
        <x:v>Main Benchmark — Risk-Based Reviewer Assignment</x:v>
      </x:c>
      <x:c r="E1" s="3" t="str">
        <x:v>Main Benchmark — Risk-Based Reviewer Assignment</x:v>
      </x:c>
      <x:c r="F1" s="3" t="str">
        <x:v>Main Benchmark — Risk-Based Reviewer Assignment</x:v>
      </x:c>
      <x:c r="G1" s="3" t="str">
        <x:v>Main Benchmark — Risk-Based Reviewer Assignment</x:v>
      </x:c>
      <x:c r="H1" s="3" t="str">
        <x:v>Main Benchmark — Risk-Based Reviewer Assignment</x:v>
      </x:c>
      <x:c r="I1" s="3" t="str">
        <x:v>Main Benchmark — Risk-Based Reviewer Assignment</x:v>
      </x:c>
      <x:c r="J1" s="3" t="str">
        <x:v>Main Benchmark — Risk-Based Reviewer Assignment</x:v>
      </x:c>
      <x:c r="K1" s="3" t="str">
        <x:v>Main Benchmark — Risk-Based Reviewer Assignment</x:v>
      </x:c>
      <x:c r="L1" s="3" t="str">
        <x:v>Main Benchmark — Risk-Based Reviewer Assignment</x:v>
      </x:c>
      <x:c r="M1" s="3" t="str">
        <x:v>Main Benchmark — Risk-Based Reviewer Assignment</x:v>
      </x:c>
      <x:c r="N1" s="3" t="str">
        <x:v>Main Benchmark — Risk-Based Reviewer Assignment</x:v>
      </x:c>
      <x:c r="O1" s="3" t="str">
        <x:v>Main Benchmark — Risk-Based Reviewer Assignment</x:v>
      </x:c>
    </x:row>
    <x:row r="2">
      <x:c r="A2" s="16" t="str">
        <x:v>Rule</x:v>
      </x:c>
      <x:c r="B2" s="34" t="str">
        <x:v>Enter one stable stratum_order within each knowledge domain. Higher-risk items are AB. Among lower-risk items, every fifth item is AB; other items alternate A/B.</x:v>
      </x:c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  <x:c r="O2" s="34" t="str"/>
    </x:row>
    <x:row r="3">
      <x:c r="A3" s="16" t="str">
        <x:v>Capacity</x:v>
      </x:c>
      <x:c r="B3" s="34" t="str">
        <x:v>250 candidate rows. Extend formulas and validations only if the retained main set exceeds this capacity.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  <x:c r="O3" s="34" t="str"/>
    </x:row>
    <x:row r="5" ht="37.5" customHeight="1">
      <x:c r="A5" s="22" t="str">
        <x:v>main_item_id</x:v>
      </x:c>
      <x:c r="B5" s="22" t="str">
        <x:v>source_fact_id</x:v>
      </x:c>
      <x:c r="C5" s="22" t="str">
        <x:v>knowledge_domain</x:v>
      </x:c>
      <x:c r="D5" s="22" t="str">
        <x:v>stratum_order</x:v>
      </x:c>
      <x:c r="E5" s="22" t="str">
        <x:v>lexical_leakage</x:v>
      </x:c>
      <x:c r="F5" s="22" t="str">
        <x:v>ambiguity_risk</x:v>
      </x:c>
      <x:c r="G5" s="22" t="str">
        <x:v>numeric_answer</x:v>
      </x:c>
      <x:c r="H5" s="22" t="str">
        <x:v>multi_component</x:v>
      </x:c>
      <x:c r="I5" s="22" t="str">
        <x:v>local_or_dialect_term</x:v>
      </x:c>
      <x:c r="J5" s="22" t="str">
        <x:v>technical_threshold</x:v>
      </x:c>
      <x:c r="K5" s="22" t="str">
        <x:v>review_risk</x:v>
      </x:c>
      <x:c r="L5" s="22" t="str">
        <x:v>assignment</x:v>
      </x:c>
      <x:c r="M5" s="22" t="str">
        <x:v>reviewer_A_required</x:v>
      </x:c>
      <x:c r="N5" s="22" t="str">
        <x:v>reviewer_B_required</x:v>
      </x:c>
      <x:c r="O5" s="22" t="str">
        <x:v>assignment_status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32" t="str">
        <x:f>IF(A6="","",IF(OR(E6="L1",F6="medium",F6="high",G6="yes",H6="yes",I6="yes",J6="yes"),"higher","lower"))</x:f>
      </x:c>
      <x:c r="L6" s="32" t="str">
        <x:f>IF(A6="","",IF(K6="higher","AB",IF(D6="","NEEDS_ORDER",IF(MOD(D6,5)=0,"AB",IF(MOD(D6,2)=0,"A","B")))))</x:f>
      </x:c>
      <x:c r="M6" s="32" t="str">
        <x:f>IF(A6="","",IF(OR(L6="A",L6="AB"),"yes","no"))</x:f>
      </x:c>
      <x:c r="N6" s="32" t="str">
        <x:f>IF(A6="","",IF(OR(L6="B",L6="AB"),"yes","no"))</x:f>
      </x:c>
      <x:c r="O6" s="32" t="str">
        <x:f>IF(A6="","",IF(OR(C6="",D6="",E6="",F6="",G6="",H6="",I6="",J6=""),"INCOMPLETE","READY"))</x:f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32" t="str">
        <x:f>IF(A7="","",IF(OR(E7="L1",F7="medium",F7="high",G7="yes",H7="yes",I7="yes",J7="yes"),"higher","lower"))</x:f>
      </x:c>
      <x:c r="L7" s="32" t="str">
        <x:f>IF(A7="","",IF(K7="higher","AB",IF(D7="","NEEDS_ORDER",IF(MOD(D7,5)=0,"AB",IF(MOD(D7,2)=0,"A","B")))))</x:f>
      </x:c>
      <x:c r="M7" s="32" t="str">
        <x:f>IF(A7="","",IF(OR(L7="A",L7="AB"),"yes","no"))</x:f>
      </x:c>
      <x:c r="N7" s="32" t="str">
        <x:f>IF(A7="","",IF(OR(L7="B",L7="AB"),"yes","no"))</x:f>
      </x:c>
      <x:c r="O7" s="32" t="str">
        <x:f>IF(A7="","",IF(OR(C7="",D7="",E7="",F7="",G7="",H7="",I7="",J7=""),"INCOMPLETE","READY"))</x:f>
      </x:c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32" t="str">
        <x:f>IF(A8="","",IF(OR(E8="L1",F8="medium",F8="high",G8="yes",H8="yes",I8="yes",J8="yes"),"higher","lower"))</x:f>
      </x:c>
      <x:c r="L8" s="32" t="str">
        <x:f>IF(A8="","",IF(K8="higher","AB",IF(D8="","NEEDS_ORDER",IF(MOD(D8,5)=0,"AB",IF(MOD(D8,2)=0,"A","B")))))</x:f>
      </x:c>
      <x:c r="M8" s="32" t="str">
        <x:f>IF(A8="","",IF(OR(L8="A",L8="AB"),"yes","no"))</x:f>
      </x:c>
      <x:c r="N8" s="32" t="str">
        <x:f>IF(A8="","",IF(OR(L8="B",L8="AB"),"yes","no"))</x:f>
      </x:c>
      <x:c r="O8" s="32" t="str">
        <x:f>IF(A8="","",IF(OR(C8="",D8="",E8="",F8="",G8="",H8="",I8="",J8=""),"INCOMPLETE","READY"))</x:f>
      </x:c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32" t="str">
        <x:f>IF(A9="","",IF(OR(E9="L1",F9="medium",F9="high",G9="yes",H9="yes",I9="yes",J9="yes"),"higher","lower"))</x:f>
      </x:c>
      <x:c r="L9" s="32" t="str">
        <x:f>IF(A9="","",IF(K9="higher","AB",IF(D9="","NEEDS_ORDER",IF(MOD(D9,5)=0,"AB",IF(MOD(D9,2)=0,"A","B")))))</x:f>
      </x:c>
      <x:c r="M9" s="32" t="str">
        <x:f>IF(A9="","",IF(OR(L9="A",L9="AB"),"yes","no"))</x:f>
      </x:c>
      <x:c r="N9" s="32" t="str">
        <x:f>IF(A9="","",IF(OR(L9="B",L9="AB"),"yes","no"))</x:f>
      </x:c>
      <x:c r="O9" s="32" t="str">
        <x:f>IF(A9="","",IF(OR(C9="",D9="",E9="",F9="",G9="",H9="",I9="",J9=""),"INCOMPLETE","READY"))</x:f>
      </x:c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32" t="str">
        <x:f>IF(A10="","",IF(OR(E10="L1",F10="medium",F10="high",G10="yes",H10="yes",I10="yes",J10="yes"),"higher","lower"))</x:f>
      </x:c>
      <x:c r="L10" s="32" t="str">
        <x:f>IF(A10="","",IF(K10="higher","AB",IF(D10="","NEEDS_ORDER",IF(MOD(D10,5)=0,"AB",IF(MOD(D10,2)=0,"A","B")))))</x:f>
      </x:c>
      <x:c r="M10" s="32" t="str">
        <x:f>IF(A10="","",IF(OR(L10="A",L10="AB"),"yes","no"))</x:f>
      </x:c>
      <x:c r="N10" s="32" t="str">
        <x:f>IF(A10="","",IF(OR(L10="B",L10="AB"),"yes","no"))</x:f>
      </x:c>
      <x:c r="O10" s="32" t="str">
        <x:f>IF(A10="","",IF(OR(C10="",D10="",E10="",F10="",G10="",H10="",I10="",J10=""),"INCOMPLETE","READY"))</x:f>
      </x:c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32" t="str">
        <x:f>IF(A11="","",IF(OR(E11="L1",F11="medium",F11="high",G11="yes",H11="yes",I11="yes",J11="yes"),"higher","lower"))</x:f>
      </x:c>
      <x:c r="L11" s="32" t="str">
        <x:f>IF(A11="","",IF(K11="higher","AB",IF(D11="","NEEDS_ORDER",IF(MOD(D11,5)=0,"AB",IF(MOD(D11,2)=0,"A","B")))))</x:f>
      </x:c>
      <x:c r="M11" s="32" t="str">
        <x:f>IF(A11="","",IF(OR(L11="A",L11="AB"),"yes","no"))</x:f>
      </x:c>
      <x:c r="N11" s="32" t="str">
        <x:f>IF(A11="","",IF(OR(L11="B",L11="AB"),"yes","no"))</x:f>
      </x:c>
      <x:c r="O11" s="32" t="str">
        <x:f>IF(A11="","",IF(OR(C11="",D11="",E11="",F11="",G11="",H11="",I11="",J11=""),"INCOMPLETE","READY"))</x:f>
      </x:c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32" t="str">
        <x:f>IF(A12="","",IF(OR(E12="L1",F12="medium",F12="high",G12="yes",H12="yes",I12="yes",J12="yes"),"higher","lower"))</x:f>
      </x:c>
      <x:c r="L12" s="32" t="str">
        <x:f>IF(A12="","",IF(K12="higher","AB",IF(D12="","NEEDS_ORDER",IF(MOD(D12,5)=0,"AB",IF(MOD(D12,2)=0,"A","B")))))</x:f>
      </x:c>
      <x:c r="M12" s="32" t="str">
        <x:f>IF(A12="","",IF(OR(L12="A",L12="AB"),"yes","no"))</x:f>
      </x:c>
      <x:c r="N12" s="32" t="str">
        <x:f>IF(A12="","",IF(OR(L12="B",L12="AB"),"yes","no"))</x:f>
      </x:c>
      <x:c r="O12" s="32" t="str">
        <x:f>IF(A12="","",IF(OR(C12="",D12="",E12="",F12="",G12="",H12="",I12="",J12=""),"INCOMPLETE","READY"))</x:f>
      </x:c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32" t="str">
        <x:f>IF(A13="","",IF(OR(E13="L1",F13="medium",F13="high",G13="yes",H13="yes",I13="yes",J13="yes"),"higher","lower"))</x:f>
      </x:c>
      <x:c r="L13" s="32" t="str">
        <x:f>IF(A13="","",IF(K13="higher","AB",IF(D13="","NEEDS_ORDER",IF(MOD(D13,5)=0,"AB",IF(MOD(D13,2)=0,"A","B")))))</x:f>
      </x:c>
      <x:c r="M13" s="32" t="str">
        <x:f>IF(A13="","",IF(OR(L13="A",L13="AB"),"yes","no"))</x:f>
      </x:c>
      <x:c r="N13" s="32" t="str">
        <x:f>IF(A13="","",IF(OR(L13="B",L13="AB"),"yes","no"))</x:f>
      </x:c>
      <x:c r="O13" s="32" t="str">
        <x:f>IF(A13="","",IF(OR(C13="",D13="",E13="",F13="",G13="",H13="",I13="",J13=""),"INCOMPLETE","READY"))</x:f>
      </x:c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32" t="str">
        <x:f>IF(A14="","",IF(OR(E14="L1",F14="medium",F14="high",G14="yes",H14="yes",I14="yes",J14="yes"),"higher","lower"))</x:f>
      </x:c>
      <x:c r="L14" s="32" t="str">
        <x:f>IF(A14="","",IF(K14="higher","AB",IF(D14="","NEEDS_ORDER",IF(MOD(D14,5)=0,"AB",IF(MOD(D14,2)=0,"A","B")))))</x:f>
      </x:c>
      <x:c r="M14" s="32" t="str">
        <x:f>IF(A14="","",IF(OR(L14="A",L14="AB"),"yes","no"))</x:f>
      </x:c>
      <x:c r="N14" s="32" t="str">
        <x:f>IF(A14="","",IF(OR(L14="B",L14="AB"),"yes","no"))</x:f>
      </x:c>
      <x:c r="O14" s="32" t="str">
        <x:f>IF(A14="","",IF(OR(C14="",D14="",E14="",F14="",G14="",H14="",I14="",J14=""),"INCOMPLETE","READY"))</x:f>
      </x:c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32" t="str">
        <x:f>IF(A15="","",IF(OR(E15="L1",F15="medium",F15="high",G15="yes",H15="yes",I15="yes",J15="yes"),"higher","lower"))</x:f>
      </x:c>
      <x:c r="L15" s="32" t="str">
        <x:f>IF(A15="","",IF(K15="higher","AB",IF(D15="","NEEDS_ORDER",IF(MOD(D15,5)=0,"AB",IF(MOD(D15,2)=0,"A","B")))))</x:f>
      </x:c>
      <x:c r="M15" s="32" t="str">
        <x:f>IF(A15="","",IF(OR(L15="A",L15="AB"),"yes","no"))</x:f>
      </x:c>
      <x:c r="N15" s="32" t="str">
        <x:f>IF(A15="","",IF(OR(L15="B",L15="AB"),"yes","no"))</x:f>
      </x:c>
      <x:c r="O15" s="32" t="str">
        <x:f>IF(A15="","",IF(OR(C15="",D15="",E15="",F15="",G15="",H15="",I15="",J15=""),"INCOMPLETE","READY"))</x:f>
      </x:c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32" t="str">
        <x:f>IF(A16="","",IF(OR(E16="L1",F16="medium",F16="high",G16="yes",H16="yes",I16="yes",J16="yes"),"higher","lower"))</x:f>
      </x:c>
      <x:c r="L16" s="32" t="str">
        <x:f>IF(A16="","",IF(K16="higher","AB",IF(D16="","NEEDS_ORDER",IF(MOD(D16,5)=0,"AB",IF(MOD(D16,2)=0,"A","B")))))</x:f>
      </x:c>
      <x:c r="M16" s="32" t="str">
        <x:f>IF(A16="","",IF(OR(L16="A",L16="AB"),"yes","no"))</x:f>
      </x:c>
      <x:c r="N16" s="32" t="str">
        <x:f>IF(A16="","",IF(OR(L16="B",L16="AB"),"yes","no"))</x:f>
      </x:c>
      <x:c r="O16" s="32" t="str">
        <x:f>IF(A16="","",IF(OR(C16="",D16="",E16="",F16="",G16="",H16="",I16="",J16=""),"INCOMPLETE","READY"))</x:f>
      </x:c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32" t="str">
        <x:f>IF(A17="","",IF(OR(E17="L1",F17="medium",F17="high",G17="yes",H17="yes",I17="yes",J17="yes"),"higher","lower"))</x:f>
      </x:c>
      <x:c r="L17" s="32" t="str">
        <x:f>IF(A17="","",IF(K17="higher","AB",IF(D17="","NEEDS_ORDER",IF(MOD(D17,5)=0,"AB",IF(MOD(D17,2)=0,"A","B")))))</x:f>
      </x:c>
      <x:c r="M17" s="32" t="str">
        <x:f>IF(A17="","",IF(OR(L17="A",L17="AB"),"yes","no"))</x:f>
      </x:c>
      <x:c r="N17" s="32" t="str">
        <x:f>IF(A17="","",IF(OR(L17="B",L17="AB"),"yes","no"))</x:f>
      </x:c>
      <x:c r="O17" s="32" t="str">
        <x:f>IF(A17="","",IF(OR(C17="",D17="",E17="",F17="",G17="",H17="",I17="",J17=""),"INCOMPLETE","READY"))</x:f>
      </x:c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32" t="str">
        <x:f>IF(A18="","",IF(OR(E18="L1",F18="medium",F18="high",G18="yes",H18="yes",I18="yes",J18="yes"),"higher","lower"))</x:f>
      </x:c>
      <x:c r="L18" s="32" t="str">
        <x:f>IF(A18="","",IF(K18="higher","AB",IF(D18="","NEEDS_ORDER",IF(MOD(D18,5)=0,"AB",IF(MOD(D18,2)=0,"A","B")))))</x:f>
      </x:c>
      <x:c r="M18" s="32" t="str">
        <x:f>IF(A18="","",IF(OR(L18="A",L18="AB"),"yes","no"))</x:f>
      </x:c>
      <x:c r="N18" s="32" t="str">
        <x:f>IF(A18="","",IF(OR(L18="B",L18="AB"),"yes","no"))</x:f>
      </x:c>
      <x:c r="O18" s="32" t="str">
        <x:f>IF(A18="","",IF(OR(C18="",D18="",E18="",F18="",G18="",H18="",I18="",J18=""),"INCOMPLETE","READY"))</x:f>
      </x:c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32" t="str">
        <x:f>IF(A19="","",IF(OR(E19="L1",F19="medium",F19="high",G19="yes",H19="yes",I19="yes",J19="yes"),"higher","lower"))</x:f>
      </x:c>
      <x:c r="L19" s="32" t="str">
        <x:f>IF(A19="","",IF(K19="higher","AB",IF(D19="","NEEDS_ORDER",IF(MOD(D19,5)=0,"AB",IF(MOD(D19,2)=0,"A","B")))))</x:f>
      </x:c>
      <x:c r="M19" s="32" t="str">
        <x:f>IF(A19="","",IF(OR(L19="A",L19="AB"),"yes","no"))</x:f>
      </x:c>
      <x:c r="N19" s="32" t="str">
        <x:f>IF(A19="","",IF(OR(L19="B",L19="AB"),"yes","no"))</x:f>
      </x:c>
      <x:c r="O19" s="32" t="str">
        <x:f>IF(A19="","",IF(OR(C19="",D19="",E19="",F19="",G19="",H19="",I19="",J19=""),"INCOMPLETE","READY"))</x:f>
      </x:c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32" t="str">
        <x:f>IF(A20="","",IF(OR(E20="L1",F20="medium",F20="high",G20="yes",H20="yes",I20="yes",J20="yes"),"higher","lower"))</x:f>
      </x:c>
      <x:c r="L20" s="32" t="str">
        <x:f>IF(A20="","",IF(K20="higher","AB",IF(D20="","NEEDS_ORDER",IF(MOD(D20,5)=0,"AB",IF(MOD(D20,2)=0,"A","B")))))</x:f>
      </x:c>
      <x:c r="M20" s="32" t="str">
        <x:f>IF(A20="","",IF(OR(L20="A",L20="AB"),"yes","no"))</x:f>
      </x:c>
      <x:c r="N20" s="32" t="str">
        <x:f>IF(A20="","",IF(OR(L20="B",L20="AB"),"yes","no"))</x:f>
      </x:c>
      <x:c r="O20" s="32" t="str">
        <x:f>IF(A20="","",IF(OR(C20="",D20="",E20="",F20="",G20="",H20="",I20="",J20=""),"INCOMPLETE","READY"))</x:f>
      </x:c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32" t="str">
        <x:f>IF(A21="","",IF(OR(E21="L1",F21="medium",F21="high",G21="yes",H21="yes",I21="yes",J21="yes"),"higher","lower"))</x:f>
      </x:c>
      <x:c r="L21" s="32" t="str">
        <x:f>IF(A21="","",IF(K21="higher","AB",IF(D21="","NEEDS_ORDER",IF(MOD(D21,5)=0,"AB",IF(MOD(D21,2)=0,"A","B")))))</x:f>
      </x:c>
      <x:c r="M21" s="32" t="str">
        <x:f>IF(A21="","",IF(OR(L21="A",L21="AB"),"yes","no"))</x:f>
      </x:c>
      <x:c r="N21" s="32" t="str">
        <x:f>IF(A21="","",IF(OR(L21="B",L21="AB"),"yes","no"))</x:f>
      </x:c>
      <x:c r="O21" s="32" t="str">
        <x:f>IF(A21="","",IF(OR(C21="",D21="",E21="",F21="",G21="",H21="",I21="",J21=""),"INCOMPLETE","READY"))</x:f>
      </x:c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32" t="str">
        <x:f>IF(A22="","",IF(OR(E22="L1",F22="medium",F22="high",G22="yes",H22="yes",I22="yes",J22="yes"),"higher","lower"))</x:f>
      </x:c>
      <x:c r="L22" s="32" t="str">
        <x:f>IF(A22="","",IF(K22="higher","AB",IF(D22="","NEEDS_ORDER",IF(MOD(D22,5)=0,"AB",IF(MOD(D22,2)=0,"A","B")))))</x:f>
      </x:c>
      <x:c r="M22" s="32" t="str">
        <x:f>IF(A22="","",IF(OR(L22="A",L22="AB"),"yes","no"))</x:f>
      </x:c>
      <x:c r="N22" s="32" t="str">
        <x:f>IF(A22="","",IF(OR(L22="B",L22="AB"),"yes","no"))</x:f>
      </x:c>
      <x:c r="O22" s="32" t="str">
        <x:f>IF(A22="","",IF(OR(C22="",D22="",E22="",F22="",G22="",H22="",I22="",J22=""),"INCOMPLETE","READY"))</x:f>
      </x:c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32" t="str">
        <x:f>IF(A23="","",IF(OR(E23="L1",F23="medium",F23="high",G23="yes",H23="yes",I23="yes",J23="yes"),"higher","lower"))</x:f>
      </x:c>
      <x:c r="L23" s="32" t="str">
        <x:f>IF(A23="","",IF(K23="higher","AB",IF(D23="","NEEDS_ORDER",IF(MOD(D23,5)=0,"AB",IF(MOD(D23,2)=0,"A","B")))))</x:f>
      </x:c>
      <x:c r="M23" s="32" t="str">
        <x:f>IF(A23="","",IF(OR(L23="A",L23="AB"),"yes","no"))</x:f>
      </x:c>
      <x:c r="N23" s="32" t="str">
        <x:f>IF(A23="","",IF(OR(L23="B",L23="AB"),"yes","no"))</x:f>
      </x:c>
      <x:c r="O23" s="32" t="str">
        <x:f>IF(A23="","",IF(OR(C23="",D23="",E23="",F23="",G23="",H23="",I23="",J23=""),"INCOMPLETE","READY"))</x:f>
      </x:c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32" t="str">
        <x:f>IF(A24="","",IF(OR(E24="L1",F24="medium",F24="high",G24="yes",H24="yes",I24="yes",J24="yes"),"higher","lower"))</x:f>
      </x:c>
      <x:c r="L24" s="32" t="str">
        <x:f>IF(A24="","",IF(K24="higher","AB",IF(D24="","NEEDS_ORDER",IF(MOD(D24,5)=0,"AB",IF(MOD(D24,2)=0,"A","B")))))</x:f>
      </x:c>
      <x:c r="M24" s="32" t="str">
        <x:f>IF(A24="","",IF(OR(L24="A",L24="AB"),"yes","no"))</x:f>
      </x:c>
      <x:c r="N24" s="32" t="str">
        <x:f>IF(A24="","",IF(OR(L24="B",L24="AB"),"yes","no"))</x:f>
      </x:c>
      <x:c r="O24" s="32" t="str">
        <x:f>IF(A24="","",IF(OR(C24="",D24="",E24="",F24="",G24="",H24="",I24="",J24=""),"INCOMPLETE","READY"))</x:f>
      </x:c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32" t="str">
        <x:f>IF(A25="","",IF(OR(E25="L1",F25="medium",F25="high",G25="yes",H25="yes",I25="yes",J25="yes"),"higher","lower"))</x:f>
      </x:c>
      <x:c r="L25" s="32" t="str">
        <x:f>IF(A25="","",IF(K25="higher","AB",IF(D25="","NEEDS_ORDER",IF(MOD(D25,5)=0,"AB",IF(MOD(D25,2)=0,"A","B")))))</x:f>
      </x:c>
      <x:c r="M25" s="32" t="str">
        <x:f>IF(A25="","",IF(OR(L25="A",L25="AB"),"yes","no"))</x:f>
      </x:c>
      <x:c r="N25" s="32" t="str">
        <x:f>IF(A25="","",IF(OR(L25="B",L25="AB"),"yes","no"))</x:f>
      </x:c>
      <x:c r="O25" s="32" t="str">
        <x:f>IF(A25="","",IF(OR(C25="",D25="",E25="",F25="",G25="",H25="",I25="",J25=""),"INCOMPLETE","READY"))</x:f>
      </x:c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32" t="str">
        <x:f>IF(A26="","",IF(OR(E26="L1",F26="medium",F26="high",G26="yes",H26="yes",I26="yes",J26="yes"),"higher","lower"))</x:f>
      </x:c>
      <x:c r="L26" s="32" t="str">
        <x:f>IF(A26="","",IF(K26="higher","AB",IF(D26="","NEEDS_ORDER",IF(MOD(D26,5)=0,"AB",IF(MOD(D26,2)=0,"A","B")))))</x:f>
      </x:c>
      <x:c r="M26" s="32" t="str">
        <x:f>IF(A26="","",IF(OR(L26="A",L26="AB"),"yes","no"))</x:f>
      </x:c>
      <x:c r="N26" s="32" t="str">
        <x:f>IF(A26="","",IF(OR(L26="B",L26="AB"),"yes","no"))</x:f>
      </x:c>
      <x:c r="O26" s="32" t="str">
        <x:f>IF(A26="","",IF(OR(C26="",D26="",E26="",F26="",G26="",H26="",I26="",J26=""),"INCOMPLETE","READY"))</x:f>
      </x:c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32" t="str">
        <x:f>IF(A27="","",IF(OR(E27="L1",F27="medium",F27="high",G27="yes",H27="yes",I27="yes",J27="yes"),"higher","lower"))</x:f>
      </x:c>
      <x:c r="L27" s="32" t="str">
        <x:f>IF(A27="","",IF(K27="higher","AB",IF(D27="","NEEDS_ORDER",IF(MOD(D27,5)=0,"AB",IF(MOD(D27,2)=0,"A","B")))))</x:f>
      </x:c>
      <x:c r="M27" s="32" t="str">
        <x:f>IF(A27="","",IF(OR(L27="A",L27="AB"),"yes","no"))</x:f>
      </x:c>
      <x:c r="N27" s="32" t="str">
        <x:f>IF(A27="","",IF(OR(L27="B",L27="AB"),"yes","no"))</x:f>
      </x:c>
      <x:c r="O27" s="32" t="str">
        <x:f>IF(A27="","",IF(OR(C27="",D27="",E27="",F27="",G27="",H27="",I27="",J27=""),"INCOMPLETE","READY"))</x:f>
      </x:c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32" t="str">
        <x:f>IF(A28="","",IF(OR(E28="L1",F28="medium",F28="high",G28="yes",H28="yes",I28="yes",J28="yes"),"higher","lower"))</x:f>
      </x:c>
      <x:c r="L28" s="32" t="str">
        <x:f>IF(A28="","",IF(K28="higher","AB",IF(D28="","NEEDS_ORDER",IF(MOD(D28,5)=0,"AB",IF(MOD(D28,2)=0,"A","B")))))</x:f>
      </x:c>
      <x:c r="M28" s="32" t="str">
        <x:f>IF(A28="","",IF(OR(L28="A",L28="AB"),"yes","no"))</x:f>
      </x:c>
      <x:c r="N28" s="32" t="str">
        <x:f>IF(A28="","",IF(OR(L28="B",L28="AB"),"yes","no"))</x:f>
      </x:c>
      <x:c r="O28" s="32" t="str">
        <x:f>IF(A28="","",IF(OR(C28="",D28="",E28="",F28="",G28="",H28="",I28="",J28=""),"INCOMPLETE","READY"))</x:f>
      </x:c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32" t="str">
        <x:f>IF(A29="","",IF(OR(E29="L1",F29="medium",F29="high",G29="yes",H29="yes",I29="yes",J29="yes"),"higher","lower"))</x:f>
      </x:c>
      <x:c r="L29" s="32" t="str">
        <x:f>IF(A29="","",IF(K29="higher","AB",IF(D29="","NEEDS_ORDER",IF(MOD(D29,5)=0,"AB",IF(MOD(D29,2)=0,"A","B")))))</x:f>
      </x:c>
      <x:c r="M29" s="32" t="str">
        <x:f>IF(A29="","",IF(OR(L29="A",L29="AB"),"yes","no"))</x:f>
      </x:c>
      <x:c r="N29" s="32" t="str">
        <x:f>IF(A29="","",IF(OR(L29="B",L29="AB"),"yes","no"))</x:f>
      </x:c>
      <x:c r="O29" s="32" t="str">
        <x:f>IF(A29="","",IF(OR(C29="",D29="",E29="",F29="",G29="",H29="",I29="",J29=""),"INCOMPLETE","READY"))</x:f>
      </x:c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32" t="str">
        <x:f>IF(A30="","",IF(OR(E30="L1",F30="medium",F30="high",G30="yes",H30="yes",I30="yes",J30="yes"),"higher","lower"))</x:f>
      </x:c>
      <x:c r="L30" s="32" t="str">
        <x:f>IF(A30="","",IF(K30="higher","AB",IF(D30="","NEEDS_ORDER",IF(MOD(D30,5)=0,"AB",IF(MOD(D30,2)=0,"A","B")))))</x:f>
      </x:c>
      <x:c r="M30" s="32" t="str">
        <x:f>IF(A30="","",IF(OR(L30="A",L30="AB"),"yes","no"))</x:f>
      </x:c>
      <x:c r="N30" s="32" t="str">
        <x:f>IF(A30="","",IF(OR(L30="B",L30="AB"),"yes","no"))</x:f>
      </x:c>
      <x:c r="O30" s="32" t="str">
        <x:f>IF(A30="","",IF(OR(C30="",D30="",E30="",F30="",G30="",H30="",I30="",J30=""),"INCOMPLETE","READY"))</x:f>
      </x:c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32" t="str">
        <x:f>IF(A31="","",IF(OR(E31="L1",F31="medium",F31="high",G31="yes",H31="yes",I31="yes",J31="yes"),"higher","lower"))</x:f>
      </x:c>
      <x:c r="L31" s="32" t="str">
        <x:f>IF(A31="","",IF(K31="higher","AB",IF(D31="","NEEDS_ORDER",IF(MOD(D31,5)=0,"AB",IF(MOD(D31,2)=0,"A","B")))))</x:f>
      </x:c>
      <x:c r="M31" s="32" t="str">
        <x:f>IF(A31="","",IF(OR(L31="A",L31="AB"),"yes","no"))</x:f>
      </x:c>
      <x:c r="N31" s="32" t="str">
        <x:f>IF(A31="","",IF(OR(L31="B",L31="AB"),"yes","no"))</x:f>
      </x:c>
      <x:c r="O31" s="32" t="str">
        <x:f>IF(A31="","",IF(OR(C31="",D31="",E31="",F31="",G31="",H31="",I31="",J31=""),"INCOMPLETE","READY"))</x:f>
      </x:c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32" t="str">
        <x:f>IF(A32="","",IF(OR(E32="L1",F32="medium",F32="high",G32="yes",H32="yes",I32="yes",J32="yes"),"higher","lower"))</x:f>
      </x:c>
      <x:c r="L32" s="32" t="str">
        <x:f>IF(A32="","",IF(K32="higher","AB",IF(D32="","NEEDS_ORDER",IF(MOD(D32,5)=0,"AB",IF(MOD(D32,2)=0,"A","B")))))</x:f>
      </x:c>
      <x:c r="M32" s="32" t="str">
        <x:f>IF(A32="","",IF(OR(L32="A",L32="AB"),"yes","no"))</x:f>
      </x:c>
      <x:c r="N32" s="32" t="str">
        <x:f>IF(A32="","",IF(OR(L32="B",L32="AB"),"yes","no"))</x:f>
      </x:c>
      <x:c r="O32" s="32" t="str">
        <x:f>IF(A32="","",IF(OR(C32="",D32="",E32="",F32="",G32="",H32="",I32="",J32=""),"INCOMPLETE","READY"))</x:f>
      </x:c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32" t="str">
        <x:f>IF(A33="","",IF(OR(E33="L1",F33="medium",F33="high",G33="yes",H33="yes",I33="yes",J33="yes"),"higher","lower"))</x:f>
      </x:c>
      <x:c r="L33" s="32" t="str">
        <x:f>IF(A33="","",IF(K33="higher","AB",IF(D33="","NEEDS_ORDER",IF(MOD(D33,5)=0,"AB",IF(MOD(D33,2)=0,"A","B")))))</x:f>
      </x:c>
      <x:c r="M33" s="32" t="str">
        <x:f>IF(A33="","",IF(OR(L33="A",L33="AB"),"yes","no"))</x:f>
      </x:c>
      <x:c r="N33" s="32" t="str">
        <x:f>IF(A33="","",IF(OR(L33="B",L33="AB"),"yes","no"))</x:f>
      </x:c>
      <x:c r="O33" s="32" t="str">
        <x:f>IF(A33="","",IF(OR(C33="",D33="",E33="",F33="",G33="",H33="",I33="",J33=""),"INCOMPLETE","READY"))</x:f>
      </x:c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32" t="str">
        <x:f>IF(A34="","",IF(OR(E34="L1",F34="medium",F34="high",G34="yes",H34="yes",I34="yes",J34="yes"),"higher","lower"))</x:f>
      </x:c>
      <x:c r="L34" s="32" t="str">
        <x:f>IF(A34="","",IF(K34="higher","AB",IF(D34="","NEEDS_ORDER",IF(MOD(D34,5)=0,"AB",IF(MOD(D34,2)=0,"A","B")))))</x:f>
      </x:c>
      <x:c r="M34" s="32" t="str">
        <x:f>IF(A34="","",IF(OR(L34="A",L34="AB"),"yes","no"))</x:f>
      </x:c>
      <x:c r="N34" s="32" t="str">
        <x:f>IF(A34="","",IF(OR(L34="B",L34="AB"),"yes","no"))</x:f>
      </x:c>
      <x:c r="O34" s="32" t="str">
        <x:f>IF(A34="","",IF(OR(C34="",D34="",E34="",F34="",G34="",H34="",I34="",J34=""),"INCOMPLETE","READY"))</x:f>
      </x:c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32" t="str">
        <x:f>IF(A35="","",IF(OR(E35="L1",F35="medium",F35="high",G35="yes",H35="yes",I35="yes",J35="yes"),"higher","lower"))</x:f>
      </x:c>
      <x:c r="L35" s="32" t="str">
        <x:f>IF(A35="","",IF(K35="higher","AB",IF(D35="","NEEDS_ORDER",IF(MOD(D35,5)=0,"AB",IF(MOD(D35,2)=0,"A","B")))))</x:f>
      </x:c>
      <x:c r="M35" s="32" t="str">
        <x:f>IF(A35="","",IF(OR(L35="A",L35="AB"),"yes","no"))</x:f>
      </x:c>
      <x:c r="N35" s="32" t="str">
        <x:f>IF(A35="","",IF(OR(L35="B",L35="AB"),"yes","no"))</x:f>
      </x:c>
      <x:c r="O35" s="32" t="str">
        <x:f>IF(A35="","",IF(OR(C35="",D35="",E35="",F35="",G35="",H35="",I35="",J35=""),"INCOMPLETE","READY"))</x:f>
      </x:c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32" t="str">
        <x:f>IF(A36="","",IF(OR(E36="L1",F36="medium",F36="high",G36="yes",H36="yes",I36="yes",J36="yes"),"higher","lower"))</x:f>
      </x:c>
      <x:c r="L36" s="32" t="str">
        <x:f>IF(A36="","",IF(K36="higher","AB",IF(D36="","NEEDS_ORDER",IF(MOD(D36,5)=0,"AB",IF(MOD(D36,2)=0,"A","B")))))</x:f>
      </x:c>
      <x:c r="M36" s="32" t="str">
        <x:f>IF(A36="","",IF(OR(L36="A",L36="AB"),"yes","no"))</x:f>
      </x:c>
      <x:c r="N36" s="32" t="str">
        <x:f>IF(A36="","",IF(OR(L36="B",L36="AB"),"yes","no"))</x:f>
      </x:c>
      <x:c r="O36" s="32" t="str">
        <x:f>IF(A36="","",IF(OR(C36="",D36="",E36="",F36="",G36="",H36="",I36="",J36=""),"INCOMPLETE","READY"))</x:f>
      </x:c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32" t="str">
        <x:f>IF(A37="","",IF(OR(E37="L1",F37="medium",F37="high",G37="yes",H37="yes",I37="yes",J37="yes"),"higher","lower"))</x:f>
      </x:c>
      <x:c r="L37" s="32" t="str">
        <x:f>IF(A37="","",IF(K37="higher","AB",IF(D37="","NEEDS_ORDER",IF(MOD(D37,5)=0,"AB",IF(MOD(D37,2)=0,"A","B")))))</x:f>
      </x:c>
      <x:c r="M37" s="32" t="str">
        <x:f>IF(A37="","",IF(OR(L37="A",L37="AB"),"yes","no"))</x:f>
      </x:c>
      <x:c r="N37" s="32" t="str">
        <x:f>IF(A37="","",IF(OR(L37="B",L37="AB"),"yes","no"))</x:f>
      </x:c>
      <x:c r="O37" s="32" t="str">
        <x:f>IF(A37="","",IF(OR(C37="",D37="",E37="",F37="",G37="",H37="",I37="",J37=""),"INCOMPLETE","READY"))</x:f>
      </x:c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32" t="str">
        <x:f>IF(A38="","",IF(OR(E38="L1",F38="medium",F38="high",G38="yes",H38="yes",I38="yes",J38="yes"),"higher","lower"))</x:f>
      </x:c>
      <x:c r="L38" s="32" t="str">
        <x:f>IF(A38="","",IF(K38="higher","AB",IF(D38="","NEEDS_ORDER",IF(MOD(D38,5)=0,"AB",IF(MOD(D38,2)=0,"A","B")))))</x:f>
      </x:c>
      <x:c r="M38" s="32" t="str">
        <x:f>IF(A38="","",IF(OR(L38="A",L38="AB"),"yes","no"))</x:f>
      </x:c>
      <x:c r="N38" s="32" t="str">
        <x:f>IF(A38="","",IF(OR(L38="B",L38="AB"),"yes","no"))</x:f>
      </x:c>
      <x:c r="O38" s="32" t="str">
        <x:f>IF(A38="","",IF(OR(C38="",D38="",E38="",F38="",G38="",H38="",I38="",J38=""),"INCOMPLETE","READY"))</x:f>
      </x:c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32" t="str">
        <x:f>IF(A39="","",IF(OR(E39="L1",F39="medium",F39="high",G39="yes",H39="yes",I39="yes",J39="yes"),"higher","lower"))</x:f>
      </x:c>
      <x:c r="L39" s="32" t="str">
        <x:f>IF(A39="","",IF(K39="higher","AB",IF(D39="","NEEDS_ORDER",IF(MOD(D39,5)=0,"AB",IF(MOD(D39,2)=0,"A","B")))))</x:f>
      </x:c>
      <x:c r="M39" s="32" t="str">
        <x:f>IF(A39="","",IF(OR(L39="A",L39="AB"),"yes","no"))</x:f>
      </x:c>
      <x:c r="N39" s="32" t="str">
        <x:f>IF(A39="","",IF(OR(L39="B",L39="AB"),"yes","no"))</x:f>
      </x:c>
      <x:c r="O39" s="32" t="str">
        <x:f>IF(A39="","",IF(OR(C39="",D39="",E39="",F39="",G39="",H39="",I39="",J39=""),"INCOMPLETE","READY"))</x:f>
      </x:c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32" t="str">
        <x:f>IF(A40="","",IF(OR(E40="L1",F40="medium",F40="high",G40="yes",H40="yes",I40="yes",J40="yes"),"higher","lower"))</x:f>
      </x:c>
      <x:c r="L40" s="32" t="str">
        <x:f>IF(A40="","",IF(K40="higher","AB",IF(D40="","NEEDS_ORDER",IF(MOD(D40,5)=0,"AB",IF(MOD(D40,2)=0,"A","B")))))</x:f>
      </x:c>
      <x:c r="M40" s="32" t="str">
        <x:f>IF(A40="","",IF(OR(L40="A",L40="AB"),"yes","no"))</x:f>
      </x:c>
      <x:c r="N40" s="32" t="str">
        <x:f>IF(A40="","",IF(OR(L40="B",L40="AB"),"yes","no"))</x:f>
      </x:c>
      <x:c r="O40" s="32" t="str">
        <x:f>IF(A40="","",IF(OR(C40="",D40="",E40="",F40="",G40="",H40="",I40="",J40=""),"INCOMPLETE","READY"))</x:f>
      </x:c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32" t="str">
        <x:f>IF(A41="","",IF(OR(E41="L1",F41="medium",F41="high",G41="yes",H41="yes",I41="yes",J41="yes"),"higher","lower"))</x:f>
      </x:c>
      <x:c r="L41" s="32" t="str">
        <x:f>IF(A41="","",IF(K41="higher","AB",IF(D41="","NEEDS_ORDER",IF(MOD(D41,5)=0,"AB",IF(MOD(D41,2)=0,"A","B")))))</x:f>
      </x:c>
      <x:c r="M41" s="32" t="str">
        <x:f>IF(A41="","",IF(OR(L41="A",L41="AB"),"yes","no"))</x:f>
      </x:c>
      <x:c r="N41" s="32" t="str">
        <x:f>IF(A41="","",IF(OR(L41="B",L41="AB"),"yes","no"))</x:f>
      </x:c>
      <x:c r="O41" s="32" t="str">
        <x:f>IF(A41="","",IF(OR(C41="",D41="",E41="",F41="",G41="",H41="",I41="",J41=""),"INCOMPLETE","READY"))</x:f>
      </x:c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32" t="str">
        <x:f>IF(A42="","",IF(OR(E42="L1",F42="medium",F42="high",G42="yes",H42="yes",I42="yes",J42="yes"),"higher","lower"))</x:f>
      </x:c>
      <x:c r="L42" s="32" t="str">
        <x:f>IF(A42="","",IF(K42="higher","AB",IF(D42="","NEEDS_ORDER",IF(MOD(D42,5)=0,"AB",IF(MOD(D42,2)=0,"A","B")))))</x:f>
      </x:c>
      <x:c r="M42" s="32" t="str">
        <x:f>IF(A42="","",IF(OR(L42="A",L42="AB"),"yes","no"))</x:f>
      </x:c>
      <x:c r="N42" s="32" t="str">
        <x:f>IF(A42="","",IF(OR(L42="B",L42="AB"),"yes","no"))</x:f>
      </x:c>
      <x:c r="O42" s="32" t="str">
        <x:f>IF(A42="","",IF(OR(C42="",D42="",E42="",F42="",G42="",H42="",I42="",J42=""),"INCOMPLETE","READY"))</x:f>
      </x:c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32" t="str">
        <x:f>IF(A43="","",IF(OR(E43="L1",F43="medium",F43="high",G43="yes",H43="yes",I43="yes",J43="yes"),"higher","lower"))</x:f>
      </x:c>
      <x:c r="L43" s="32" t="str">
        <x:f>IF(A43="","",IF(K43="higher","AB",IF(D43="","NEEDS_ORDER",IF(MOD(D43,5)=0,"AB",IF(MOD(D43,2)=0,"A","B")))))</x:f>
      </x:c>
      <x:c r="M43" s="32" t="str">
        <x:f>IF(A43="","",IF(OR(L43="A",L43="AB"),"yes","no"))</x:f>
      </x:c>
      <x:c r="N43" s="32" t="str">
        <x:f>IF(A43="","",IF(OR(L43="B",L43="AB"),"yes","no"))</x:f>
      </x:c>
      <x:c r="O43" s="32" t="str">
        <x:f>IF(A43="","",IF(OR(C43="",D43="",E43="",F43="",G43="",H43="",I43="",J43=""),"INCOMPLETE","READY"))</x:f>
      </x:c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32" t="str">
        <x:f>IF(A44="","",IF(OR(E44="L1",F44="medium",F44="high",G44="yes",H44="yes",I44="yes",J44="yes"),"higher","lower"))</x:f>
      </x:c>
      <x:c r="L44" s="32" t="str">
        <x:f>IF(A44="","",IF(K44="higher","AB",IF(D44="","NEEDS_ORDER",IF(MOD(D44,5)=0,"AB",IF(MOD(D44,2)=0,"A","B")))))</x:f>
      </x:c>
      <x:c r="M44" s="32" t="str">
        <x:f>IF(A44="","",IF(OR(L44="A",L44="AB"),"yes","no"))</x:f>
      </x:c>
      <x:c r="N44" s="32" t="str">
        <x:f>IF(A44="","",IF(OR(L44="B",L44="AB"),"yes","no"))</x:f>
      </x:c>
      <x:c r="O44" s="32" t="str">
        <x:f>IF(A44="","",IF(OR(C44="",D44="",E44="",F44="",G44="",H44="",I44="",J44=""),"INCOMPLETE","READY"))</x:f>
      </x:c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32" t="str">
        <x:f>IF(A45="","",IF(OR(E45="L1",F45="medium",F45="high",G45="yes",H45="yes",I45="yes",J45="yes"),"higher","lower"))</x:f>
      </x:c>
      <x:c r="L45" s="32" t="str">
        <x:f>IF(A45="","",IF(K45="higher","AB",IF(D45="","NEEDS_ORDER",IF(MOD(D45,5)=0,"AB",IF(MOD(D45,2)=0,"A","B")))))</x:f>
      </x:c>
      <x:c r="M45" s="32" t="str">
        <x:f>IF(A45="","",IF(OR(L45="A",L45="AB"),"yes","no"))</x:f>
      </x:c>
      <x:c r="N45" s="32" t="str">
        <x:f>IF(A45="","",IF(OR(L45="B",L45="AB"),"yes","no"))</x:f>
      </x:c>
      <x:c r="O45" s="32" t="str">
        <x:f>IF(A45="","",IF(OR(C45="",D45="",E45="",F45="",G45="",H45="",I45="",J45=""),"INCOMPLETE","READY"))</x:f>
      </x:c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32" t="str">
        <x:f>IF(A46="","",IF(OR(E46="L1",F46="medium",F46="high",G46="yes",H46="yes",I46="yes",J46="yes"),"higher","lower"))</x:f>
      </x:c>
      <x:c r="L46" s="32" t="str">
        <x:f>IF(A46="","",IF(K46="higher","AB",IF(D46="","NEEDS_ORDER",IF(MOD(D46,5)=0,"AB",IF(MOD(D46,2)=0,"A","B")))))</x:f>
      </x:c>
      <x:c r="M46" s="32" t="str">
        <x:f>IF(A46="","",IF(OR(L46="A",L46="AB"),"yes","no"))</x:f>
      </x:c>
      <x:c r="N46" s="32" t="str">
        <x:f>IF(A46="","",IF(OR(L46="B",L46="AB"),"yes","no"))</x:f>
      </x:c>
      <x:c r="O46" s="32" t="str">
        <x:f>IF(A46="","",IF(OR(C46="",D46="",E46="",F46="",G46="",H46="",I46="",J46=""),"INCOMPLETE","READY"))</x:f>
      </x:c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32" t="str">
        <x:f>IF(A47="","",IF(OR(E47="L1",F47="medium",F47="high",G47="yes",H47="yes",I47="yes",J47="yes"),"higher","lower"))</x:f>
      </x:c>
      <x:c r="L47" s="32" t="str">
        <x:f>IF(A47="","",IF(K47="higher","AB",IF(D47="","NEEDS_ORDER",IF(MOD(D47,5)=0,"AB",IF(MOD(D47,2)=0,"A","B")))))</x:f>
      </x:c>
      <x:c r="M47" s="32" t="str">
        <x:f>IF(A47="","",IF(OR(L47="A",L47="AB"),"yes","no"))</x:f>
      </x:c>
      <x:c r="N47" s="32" t="str">
        <x:f>IF(A47="","",IF(OR(L47="B",L47="AB"),"yes","no"))</x:f>
      </x:c>
      <x:c r="O47" s="32" t="str">
        <x:f>IF(A47="","",IF(OR(C47="",D47="",E47="",F47="",G47="",H47="",I47="",J47=""),"INCOMPLETE","READY"))</x:f>
      </x:c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32" t="str">
        <x:f>IF(A48="","",IF(OR(E48="L1",F48="medium",F48="high",G48="yes",H48="yes",I48="yes",J48="yes"),"higher","lower"))</x:f>
      </x:c>
      <x:c r="L48" s="32" t="str">
        <x:f>IF(A48="","",IF(K48="higher","AB",IF(D48="","NEEDS_ORDER",IF(MOD(D48,5)=0,"AB",IF(MOD(D48,2)=0,"A","B")))))</x:f>
      </x:c>
      <x:c r="M48" s="32" t="str">
        <x:f>IF(A48="","",IF(OR(L48="A",L48="AB"),"yes","no"))</x:f>
      </x:c>
      <x:c r="N48" s="32" t="str">
        <x:f>IF(A48="","",IF(OR(L48="B",L48="AB"),"yes","no"))</x:f>
      </x:c>
      <x:c r="O48" s="32" t="str">
        <x:f>IF(A48="","",IF(OR(C48="",D48="",E48="",F48="",G48="",H48="",I48="",J48=""),"INCOMPLETE","READY"))</x:f>
      </x:c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32" t="str">
        <x:f>IF(A49="","",IF(OR(E49="L1",F49="medium",F49="high",G49="yes",H49="yes",I49="yes",J49="yes"),"higher","lower"))</x:f>
      </x:c>
      <x:c r="L49" s="32" t="str">
        <x:f>IF(A49="","",IF(K49="higher","AB",IF(D49="","NEEDS_ORDER",IF(MOD(D49,5)=0,"AB",IF(MOD(D49,2)=0,"A","B")))))</x:f>
      </x:c>
      <x:c r="M49" s="32" t="str">
        <x:f>IF(A49="","",IF(OR(L49="A",L49="AB"),"yes","no"))</x:f>
      </x:c>
      <x:c r="N49" s="32" t="str">
        <x:f>IF(A49="","",IF(OR(L49="B",L49="AB"),"yes","no"))</x:f>
      </x:c>
      <x:c r="O49" s="32" t="str">
        <x:f>IF(A49="","",IF(OR(C49="",D49="",E49="",F49="",G49="",H49="",I49="",J49=""),"INCOMPLETE","READY"))</x:f>
      </x:c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32" t="str">
        <x:f>IF(A50="","",IF(OR(E50="L1",F50="medium",F50="high",G50="yes",H50="yes",I50="yes",J50="yes"),"higher","lower"))</x:f>
      </x:c>
      <x:c r="L50" s="32" t="str">
        <x:f>IF(A50="","",IF(K50="higher","AB",IF(D50="","NEEDS_ORDER",IF(MOD(D50,5)=0,"AB",IF(MOD(D50,2)=0,"A","B")))))</x:f>
      </x:c>
      <x:c r="M50" s="32" t="str">
        <x:f>IF(A50="","",IF(OR(L50="A",L50="AB"),"yes","no"))</x:f>
      </x:c>
      <x:c r="N50" s="32" t="str">
        <x:f>IF(A50="","",IF(OR(L50="B",L50="AB"),"yes","no"))</x:f>
      </x:c>
      <x:c r="O50" s="32" t="str">
        <x:f>IF(A50="","",IF(OR(C50="",D50="",E50="",F50="",G50="",H50="",I50="",J50=""),"INCOMPLETE","READY"))</x:f>
      </x:c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32" t="str">
        <x:f>IF(A51="","",IF(OR(E51="L1",F51="medium",F51="high",G51="yes",H51="yes",I51="yes",J51="yes"),"higher","lower"))</x:f>
      </x:c>
      <x:c r="L51" s="32" t="str">
        <x:f>IF(A51="","",IF(K51="higher","AB",IF(D51="","NEEDS_ORDER",IF(MOD(D51,5)=0,"AB",IF(MOD(D51,2)=0,"A","B")))))</x:f>
      </x:c>
      <x:c r="M51" s="32" t="str">
        <x:f>IF(A51="","",IF(OR(L51="A",L51="AB"),"yes","no"))</x:f>
      </x:c>
      <x:c r="N51" s="32" t="str">
        <x:f>IF(A51="","",IF(OR(L51="B",L51="AB"),"yes","no"))</x:f>
      </x:c>
      <x:c r="O51" s="32" t="str">
        <x:f>IF(A51="","",IF(OR(C51="",D51="",E51="",F51="",G51="",H51="",I51="",J51=""),"INCOMPLETE","READY"))</x:f>
      </x:c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32" t="str">
        <x:f>IF(A52="","",IF(OR(E52="L1",F52="medium",F52="high",G52="yes",H52="yes",I52="yes",J52="yes"),"higher","lower"))</x:f>
      </x:c>
      <x:c r="L52" s="32" t="str">
        <x:f>IF(A52="","",IF(K52="higher","AB",IF(D52="","NEEDS_ORDER",IF(MOD(D52,5)=0,"AB",IF(MOD(D52,2)=0,"A","B")))))</x:f>
      </x:c>
      <x:c r="M52" s="32" t="str">
        <x:f>IF(A52="","",IF(OR(L52="A",L52="AB"),"yes","no"))</x:f>
      </x:c>
      <x:c r="N52" s="32" t="str">
        <x:f>IF(A52="","",IF(OR(L52="B",L52="AB"),"yes","no"))</x:f>
      </x:c>
      <x:c r="O52" s="32" t="str">
        <x:f>IF(A52="","",IF(OR(C52="",D52="",E52="",F52="",G52="",H52="",I52="",J52=""),"INCOMPLETE","READY"))</x:f>
      </x:c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32" t="str">
        <x:f>IF(A53="","",IF(OR(E53="L1",F53="medium",F53="high",G53="yes",H53="yes",I53="yes",J53="yes"),"higher","lower"))</x:f>
      </x:c>
      <x:c r="L53" s="32" t="str">
        <x:f>IF(A53="","",IF(K53="higher","AB",IF(D53="","NEEDS_ORDER",IF(MOD(D53,5)=0,"AB",IF(MOD(D53,2)=0,"A","B")))))</x:f>
      </x:c>
      <x:c r="M53" s="32" t="str">
        <x:f>IF(A53="","",IF(OR(L53="A",L53="AB"),"yes","no"))</x:f>
      </x:c>
      <x:c r="N53" s="32" t="str">
        <x:f>IF(A53="","",IF(OR(L53="B",L53="AB"),"yes","no"))</x:f>
      </x:c>
      <x:c r="O53" s="32" t="str">
        <x:f>IF(A53="","",IF(OR(C53="",D53="",E53="",F53="",G53="",H53="",I53="",J53=""),"INCOMPLETE","READY"))</x:f>
      </x:c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32" t="str">
        <x:f>IF(A54="","",IF(OR(E54="L1",F54="medium",F54="high",G54="yes",H54="yes",I54="yes",J54="yes"),"higher","lower"))</x:f>
      </x:c>
      <x:c r="L54" s="32" t="str">
        <x:f>IF(A54="","",IF(K54="higher","AB",IF(D54="","NEEDS_ORDER",IF(MOD(D54,5)=0,"AB",IF(MOD(D54,2)=0,"A","B")))))</x:f>
      </x:c>
      <x:c r="M54" s="32" t="str">
        <x:f>IF(A54="","",IF(OR(L54="A",L54="AB"),"yes","no"))</x:f>
      </x:c>
      <x:c r="N54" s="32" t="str">
        <x:f>IF(A54="","",IF(OR(L54="B",L54="AB"),"yes","no"))</x:f>
      </x:c>
      <x:c r="O54" s="32" t="str">
        <x:f>IF(A54="","",IF(OR(C54="",D54="",E54="",F54="",G54="",H54="",I54="",J54=""),"INCOMPLETE","READY"))</x:f>
      </x:c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32" t="str">
        <x:f>IF(A55="","",IF(OR(E55="L1",F55="medium",F55="high",G55="yes",H55="yes",I55="yes",J55="yes"),"higher","lower"))</x:f>
      </x:c>
      <x:c r="L55" s="32" t="str">
        <x:f>IF(A55="","",IF(K55="higher","AB",IF(D55="","NEEDS_ORDER",IF(MOD(D55,5)=0,"AB",IF(MOD(D55,2)=0,"A","B")))))</x:f>
      </x:c>
      <x:c r="M55" s="32" t="str">
        <x:f>IF(A55="","",IF(OR(L55="A",L55="AB"),"yes","no"))</x:f>
      </x:c>
      <x:c r="N55" s="32" t="str">
        <x:f>IF(A55="","",IF(OR(L55="B",L55="AB"),"yes","no"))</x:f>
      </x:c>
      <x:c r="O55" s="32" t="str">
        <x:f>IF(A55="","",IF(OR(C55="",D55="",E55="",F55="",G55="",H55="",I55="",J55=""),"INCOMPLETE","READY"))</x:f>
      </x:c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32" t="str">
        <x:f>IF(A56="","",IF(OR(E56="L1",F56="medium",F56="high",G56="yes",H56="yes",I56="yes",J56="yes"),"higher","lower"))</x:f>
      </x:c>
      <x:c r="L56" s="32" t="str">
        <x:f>IF(A56="","",IF(K56="higher","AB",IF(D56="","NEEDS_ORDER",IF(MOD(D56,5)=0,"AB",IF(MOD(D56,2)=0,"A","B")))))</x:f>
      </x:c>
      <x:c r="M56" s="32" t="str">
        <x:f>IF(A56="","",IF(OR(L56="A",L56="AB"),"yes","no"))</x:f>
      </x:c>
      <x:c r="N56" s="32" t="str">
        <x:f>IF(A56="","",IF(OR(L56="B",L56="AB"),"yes","no"))</x:f>
      </x:c>
      <x:c r="O56" s="32" t="str">
        <x:f>IF(A56="","",IF(OR(C56="",D56="",E56="",F56="",G56="",H56="",I56="",J56=""),"INCOMPLETE","READY"))</x:f>
      </x:c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32" t="str">
        <x:f>IF(A57="","",IF(OR(E57="L1",F57="medium",F57="high",G57="yes",H57="yes",I57="yes",J57="yes"),"higher","lower"))</x:f>
      </x:c>
      <x:c r="L57" s="32" t="str">
        <x:f>IF(A57="","",IF(K57="higher","AB",IF(D57="","NEEDS_ORDER",IF(MOD(D57,5)=0,"AB",IF(MOD(D57,2)=0,"A","B")))))</x:f>
      </x:c>
      <x:c r="M57" s="32" t="str">
        <x:f>IF(A57="","",IF(OR(L57="A",L57="AB"),"yes","no"))</x:f>
      </x:c>
      <x:c r="N57" s="32" t="str">
        <x:f>IF(A57="","",IF(OR(L57="B",L57="AB"),"yes","no"))</x:f>
      </x:c>
      <x:c r="O57" s="32" t="str">
        <x:f>IF(A57="","",IF(OR(C57="",D57="",E57="",F57="",G57="",H57="",I57="",J57=""),"INCOMPLETE","READY"))</x:f>
      </x:c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32" t="str">
        <x:f>IF(A58="","",IF(OR(E58="L1",F58="medium",F58="high",G58="yes",H58="yes",I58="yes",J58="yes"),"higher","lower"))</x:f>
      </x:c>
      <x:c r="L58" s="32" t="str">
        <x:f>IF(A58="","",IF(K58="higher","AB",IF(D58="","NEEDS_ORDER",IF(MOD(D58,5)=0,"AB",IF(MOD(D58,2)=0,"A","B")))))</x:f>
      </x:c>
      <x:c r="M58" s="32" t="str">
        <x:f>IF(A58="","",IF(OR(L58="A",L58="AB"),"yes","no"))</x:f>
      </x:c>
      <x:c r="N58" s="32" t="str">
        <x:f>IF(A58="","",IF(OR(L58="B",L58="AB"),"yes","no"))</x:f>
      </x:c>
      <x:c r="O58" s="32" t="str">
        <x:f>IF(A58="","",IF(OR(C58="",D58="",E58="",F58="",G58="",H58="",I58="",J58=""),"INCOMPLETE","READY"))</x:f>
      </x:c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32" t="str">
        <x:f>IF(A59="","",IF(OR(E59="L1",F59="medium",F59="high",G59="yes",H59="yes",I59="yes",J59="yes"),"higher","lower"))</x:f>
      </x:c>
      <x:c r="L59" s="32" t="str">
        <x:f>IF(A59="","",IF(K59="higher","AB",IF(D59="","NEEDS_ORDER",IF(MOD(D59,5)=0,"AB",IF(MOD(D59,2)=0,"A","B")))))</x:f>
      </x:c>
      <x:c r="M59" s="32" t="str">
        <x:f>IF(A59="","",IF(OR(L59="A",L59="AB"),"yes","no"))</x:f>
      </x:c>
      <x:c r="N59" s="32" t="str">
        <x:f>IF(A59="","",IF(OR(L59="B",L59="AB"),"yes","no"))</x:f>
      </x:c>
      <x:c r="O59" s="32" t="str">
        <x:f>IF(A59="","",IF(OR(C59="",D59="",E59="",F59="",G59="",H59="",I59="",J59=""),"INCOMPLETE","READY"))</x:f>
      </x:c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32" t="str">
        <x:f>IF(A60="","",IF(OR(E60="L1",F60="medium",F60="high",G60="yes",H60="yes",I60="yes",J60="yes"),"higher","lower"))</x:f>
      </x:c>
      <x:c r="L60" s="32" t="str">
        <x:f>IF(A60="","",IF(K60="higher","AB",IF(D60="","NEEDS_ORDER",IF(MOD(D60,5)=0,"AB",IF(MOD(D60,2)=0,"A","B")))))</x:f>
      </x:c>
      <x:c r="M60" s="32" t="str">
        <x:f>IF(A60="","",IF(OR(L60="A",L60="AB"),"yes","no"))</x:f>
      </x:c>
      <x:c r="N60" s="32" t="str">
        <x:f>IF(A60="","",IF(OR(L60="B",L60="AB"),"yes","no"))</x:f>
      </x:c>
      <x:c r="O60" s="32" t="str">
        <x:f>IF(A60="","",IF(OR(C60="",D60="",E60="",F60="",G60="",H60="",I60="",J60=""),"INCOMPLETE","READY"))</x:f>
      </x:c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32" t="str">
        <x:f>IF(A61="","",IF(OR(E61="L1",F61="medium",F61="high",G61="yes",H61="yes",I61="yes",J61="yes"),"higher","lower"))</x:f>
      </x:c>
      <x:c r="L61" s="32" t="str">
        <x:f>IF(A61="","",IF(K61="higher","AB",IF(D61="","NEEDS_ORDER",IF(MOD(D61,5)=0,"AB",IF(MOD(D61,2)=0,"A","B")))))</x:f>
      </x:c>
      <x:c r="M61" s="32" t="str">
        <x:f>IF(A61="","",IF(OR(L61="A",L61="AB"),"yes","no"))</x:f>
      </x:c>
      <x:c r="N61" s="32" t="str">
        <x:f>IF(A61="","",IF(OR(L61="B",L61="AB"),"yes","no"))</x:f>
      </x:c>
      <x:c r="O61" s="32" t="str">
        <x:f>IF(A61="","",IF(OR(C61="",D61="",E61="",F61="",G61="",H61="",I61="",J61=""),"INCOMPLETE","READY"))</x:f>
      </x:c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32" t="str">
        <x:f>IF(A62="","",IF(OR(E62="L1",F62="medium",F62="high",G62="yes",H62="yes",I62="yes",J62="yes"),"higher","lower"))</x:f>
      </x:c>
      <x:c r="L62" s="32" t="str">
        <x:f>IF(A62="","",IF(K62="higher","AB",IF(D62="","NEEDS_ORDER",IF(MOD(D62,5)=0,"AB",IF(MOD(D62,2)=0,"A","B")))))</x:f>
      </x:c>
      <x:c r="M62" s="32" t="str">
        <x:f>IF(A62="","",IF(OR(L62="A",L62="AB"),"yes","no"))</x:f>
      </x:c>
      <x:c r="N62" s="32" t="str">
        <x:f>IF(A62="","",IF(OR(L62="B",L62="AB"),"yes","no"))</x:f>
      </x:c>
      <x:c r="O62" s="32" t="str">
        <x:f>IF(A62="","",IF(OR(C62="",D62="",E62="",F62="",G62="",H62="",I62="",J62=""),"INCOMPLETE","READY"))</x:f>
      </x:c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32" t="str">
        <x:f>IF(A63="","",IF(OR(E63="L1",F63="medium",F63="high",G63="yes",H63="yes",I63="yes",J63="yes"),"higher","lower"))</x:f>
      </x:c>
      <x:c r="L63" s="32" t="str">
        <x:f>IF(A63="","",IF(K63="higher","AB",IF(D63="","NEEDS_ORDER",IF(MOD(D63,5)=0,"AB",IF(MOD(D63,2)=0,"A","B")))))</x:f>
      </x:c>
      <x:c r="M63" s="32" t="str">
        <x:f>IF(A63="","",IF(OR(L63="A",L63="AB"),"yes","no"))</x:f>
      </x:c>
      <x:c r="N63" s="32" t="str">
        <x:f>IF(A63="","",IF(OR(L63="B",L63="AB"),"yes","no"))</x:f>
      </x:c>
      <x:c r="O63" s="32" t="str">
        <x:f>IF(A63="","",IF(OR(C63="",D63="",E63="",F63="",G63="",H63="",I63="",J63=""),"INCOMPLETE","READY"))</x:f>
      </x:c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32" t="str">
        <x:f>IF(A64="","",IF(OR(E64="L1",F64="medium",F64="high",G64="yes",H64="yes",I64="yes",J64="yes"),"higher","lower"))</x:f>
      </x:c>
      <x:c r="L64" s="32" t="str">
        <x:f>IF(A64="","",IF(K64="higher","AB",IF(D64="","NEEDS_ORDER",IF(MOD(D64,5)=0,"AB",IF(MOD(D64,2)=0,"A","B")))))</x:f>
      </x:c>
      <x:c r="M64" s="32" t="str">
        <x:f>IF(A64="","",IF(OR(L64="A",L64="AB"),"yes","no"))</x:f>
      </x:c>
      <x:c r="N64" s="32" t="str">
        <x:f>IF(A64="","",IF(OR(L64="B",L64="AB"),"yes","no"))</x:f>
      </x:c>
      <x:c r="O64" s="32" t="str">
        <x:f>IF(A64="","",IF(OR(C64="",D64="",E64="",F64="",G64="",H64="",I64="",J64=""),"INCOMPLETE","READY"))</x:f>
      </x:c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32" t="str">
        <x:f>IF(A65="","",IF(OR(E65="L1",F65="medium",F65="high",G65="yes",H65="yes",I65="yes",J65="yes"),"higher","lower"))</x:f>
      </x:c>
      <x:c r="L65" s="32" t="str">
        <x:f>IF(A65="","",IF(K65="higher","AB",IF(D65="","NEEDS_ORDER",IF(MOD(D65,5)=0,"AB",IF(MOD(D65,2)=0,"A","B")))))</x:f>
      </x:c>
      <x:c r="M65" s="32" t="str">
        <x:f>IF(A65="","",IF(OR(L65="A",L65="AB"),"yes","no"))</x:f>
      </x:c>
      <x:c r="N65" s="32" t="str">
        <x:f>IF(A65="","",IF(OR(L65="B",L65="AB"),"yes","no"))</x:f>
      </x:c>
      <x:c r="O65" s="32" t="str">
        <x:f>IF(A65="","",IF(OR(C65="",D65="",E65="",F65="",G65="",H65="",I65="",J65=""),"INCOMPLETE","READY"))</x:f>
      </x:c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32" t="str">
        <x:f>IF(A66="","",IF(OR(E66="L1",F66="medium",F66="high",G66="yes",H66="yes",I66="yes",J66="yes"),"higher","lower"))</x:f>
      </x:c>
      <x:c r="L66" s="32" t="str">
        <x:f>IF(A66="","",IF(K66="higher","AB",IF(D66="","NEEDS_ORDER",IF(MOD(D66,5)=0,"AB",IF(MOD(D66,2)=0,"A","B")))))</x:f>
      </x:c>
      <x:c r="M66" s="32" t="str">
        <x:f>IF(A66="","",IF(OR(L66="A",L66="AB"),"yes","no"))</x:f>
      </x:c>
      <x:c r="N66" s="32" t="str">
        <x:f>IF(A66="","",IF(OR(L66="B",L66="AB"),"yes","no"))</x:f>
      </x:c>
      <x:c r="O66" s="32" t="str">
        <x:f>IF(A66="","",IF(OR(C66="",D66="",E66="",F66="",G66="",H66="",I66="",J66=""),"INCOMPLETE","READY"))</x:f>
      </x:c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32" t="str">
        <x:f>IF(A67="","",IF(OR(E67="L1",F67="medium",F67="high",G67="yes",H67="yes",I67="yes",J67="yes"),"higher","lower"))</x:f>
      </x:c>
      <x:c r="L67" s="32" t="str">
        <x:f>IF(A67="","",IF(K67="higher","AB",IF(D67="","NEEDS_ORDER",IF(MOD(D67,5)=0,"AB",IF(MOD(D67,2)=0,"A","B")))))</x:f>
      </x:c>
      <x:c r="M67" s="32" t="str">
        <x:f>IF(A67="","",IF(OR(L67="A",L67="AB"),"yes","no"))</x:f>
      </x:c>
      <x:c r="N67" s="32" t="str">
        <x:f>IF(A67="","",IF(OR(L67="B",L67="AB"),"yes","no"))</x:f>
      </x:c>
      <x:c r="O67" s="32" t="str">
        <x:f>IF(A67="","",IF(OR(C67="",D67="",E67="",F67="",G67="",H67="",I67="",J67=""),"INCOMPLETE","READY"))</x:f>
      </x:c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32" t="str">
        <x:f>IF(A68="","",IF(OR(E68="L1",F68="medium",F68="high",G68="yes",H68="yes",I68="yes",J68="yes"),"higher","lower"))</x:f>
      </x:c>
      <x:c r="L68" s="32" t="str">
        <x:f>IF(A68="","",IF(K68="higher","AB",IF(D68="","NEEDS_ORDER",IF(MOD(D68,5)=0,"AB",IF(MOD(D68,2)=0,"A","B")))))</x:f>
      </x:c>
      <x:c r="M68" s="32" t="str">
        <x:f>IF(A68="","",IF(OR(L68="A",L68="AB"),"yes","no"))</x:f>
      </x:c>
      <x:c r="N68" s="32" t="str">
        <x:f>IF(A68="","",IF(OR(L68="B",L68="AB"),"yes","no"))</x:f>
      </x:c>
      <x:c r="O68" s="32" t="str">
        <x:f>IF(A68="","",IF(OR(C68="",D68="",E68="",F68="",G68="",H68="",I68="",J68=""),"INCOMPLETE","READY"))</x:f>
      </x:c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32" t="str">
        <x:f>IF(A69="","",IF(OR(E69="L1",F69="medium",F69="high",G69="yes",H69="yes",I69="yes",J69="yes"),"higher","lower"))</x:f>
      </x:c>
      <x:c r="L69" s="32" t="str">
        <x:f>IF(A69="","",IF(K69="higher","AB",IF(D69="","NEEDS_ORDER",IF(MOD(D69,5)=0,"AB",IF(MOD(D69,2)=0,"A","B")))))</x:f>
      </x:c>
      <x:c r="M69" s="32" t="str">
        <x:f>IF(A69="","",IF(OR(L69="A",L69="AB"),"yes","no"))</x:f>
      </x:c>
      <x:c r="N69" s="32" t="str">
        <x:f>IF(A69="","",IF(OR(L69="B",L69="AB"),"yes","no"))</x:f>
      </x:c>
      <x:c r="O69" s="32" t="str">
        <x:f>IF(A69="","",IF(OR(C69="",D69="",E69="",F69="",G69="",H69="",I69="",J69=""),"INCOMPLETE","READY"))</x:f>
      </x:c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32" t="str">
        <x:f>IF(A70="","",IF(OR(E70="L1",F70="medium",F70="high",G70="yes",H70="yes",I70="yes",J70="yes"),"higher","lower"))</x:f>
      </x:c>
      <x:c r="L70" s="32" t="str">
        <x:f>IF(A70="","",IF(K70="higher","AB",IF(D70="","NEEDS_ORDER",IF(MOD(D70,5)=0,"AB",IF(MOD(D70,2)=0,"A","B")))))</x:f>
      </x:c>
      <x:c r="M70" s="32" t="str">
        <x:f>IF(A70="","",IF(OR(L70="A",L70="AB"),"yes","no"))</x:f>
      </x:c>
      <x:c r="N70" s="32" t="str">
        <x:f>IF(A70="","",IF(OR(L70="B",L70="AB"),"yes","no"))</x:f>
      </x:c>
      <x:c r="O70" s="32" t="str">
        <x:f>IF(A70="","",IF(OR(C70="",D70="",E70="",F70="",G70="",H70="",I70="",J70=""),"INCOMPLETE","READY"))</x:f>
      </x:c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32" t="str">
        <x:f>IF(A71="","",IF(OR(E71="L1",F71="medium",F71="high",G71="yes",H71="yes",I71="yes",J71="yes"),"higher","lower"))</x:f>
      </x:c>
      <x:c r="L71" s="32" t="str">
        <x:f>IF(A71="","",IF(K71="higher","AB",IF(D71="","NEEDS_ORDER",IF(MOD(D71,5)=0,"AB",IF(MOD(D71,2)=0,"A","B")))))</x:f>
      </x:c>
      <x:c r="M71" s="32" t="str">
        <x:f>IF(A71="","",IF(OR(L71="A",L71="AB"),"yes","no"))</x:f>
      </x:c>
      <x:c r="N71" s="32" t="str">
        <x:f>IF(A71="","",IF(OR(L71="B",L71="AB"),"yes","no"))</x:f>
      </x:c>
      <x:c r="O71" s="32" t="str">
        <x:f>IF(A71="","",IF(OR(C71="",D71="",E71="",F71="",G71="",H71="",I71="",J71=""),"INCOMPLETE","READY"))</x:f>
      </x:c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32" t="str">
        <x:f>IF(A72="","",IF(OR(E72="L1",F72="medium",F72="high",G72="yes",H72="yes",I72="yes",J72="yes"),"higher","lower"))</x:f>
      </x:c>
      <x:c r="L72" s="32" t="str">
        <x:f>IF(A72="","",IF(K72="higher","AB",IF(D72="","NEEDS_ORDER",IF(MOD(D72,5)=0,"AB",IF(MOD(D72,2)=0,"A","B")))))</x:f>
      </x:c>
      <x:c r="M72" s="32" t="str">
        <x:f>IF(A72="","",IF(OR(L72="A",L72="AB"),"yes","no"))</x:f>
      </x:c>
      <x:c r="N72" s="32" t="str">
        <x:f>IF(A72="","",IF(OR(L72="B",L72="AB"),"yes","no"))</x:f>
      </x:c>
      <x:c r="O72" s="32" t="str">
        <x:f>IF(A72="","",IF(OR(C72="",D72="",E72="",F72="",G72="",H72="",I72="",J72=""),"INCOMPLETE","READY"))</x:f>
      </x:c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32" t="str">
        <x:f>IF(A73="","",IF(OR(E73="L1",F73="medium",F73="high",G73="yes",H73="yes",I73="yes",J73="yes"),"higher","lower"))</x:f>
      </x:c>
      <x:c r="L73" s="32" t="str">
        <x:f>IF(A73="","",IF(K73="higher","AB",IF(D73="","NEEDS_ORDER",IF(MOD(D73,5)=0,"AB",IF(MOD(D73,2)=0,"A","B")))))</x:f>
      </x:c>
      <x:c r="M73" s="32" t="str">
        <x:f>IF(A73="","",IF(OR(L73="A",L73="AB"),"yes","no"))</x:f>
      </x:c>
      <x:c r="N73" s="32" t="str">
        <x:f>IF(A73="","",IF(OR(L73="B",L73="AB"),"yes","no"))</x:f>
      </x:c>
      <x:c r="O73" s="32" t="str">
        <x:f>IF(A73="","",IF(OR(C73="",D73="",E73="",F73="",G73="",H73="",I73="",J73=""),"INCOMPLETE","READY"))</x:f>
      </x:c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32" t="str">
        <x:f>IF(A74="","",IF(OR(E74="L1",F74="medium",F74="high",G74="yes",H74="yes",I74="yes",J74="yes"),"higher","lower"))</x:f>
      </x:c>
      <x:c r="L74" s="32" t="str">
        <x:f>IF(A74="","",IF(K74="higher","AB",IF(D74="","NEEDS_ORDER",IF(MOD(D74,5)=0,"AB",IF(MOD(D74,2)=0,"A","B")))))</x:f>
      </x:c>
      <x:c r="M74" s="32" t="str">
        <x:f>IF(A74="","",IF(OR(L74="A",L74="AB"),"yes","no"))</x:f>
      </x:c>
      <x:c r="N74" s="32" t="str">
        <x:f>IF(A74="","",IF(OR(L74="B",L74="AB"),"yes","no"))</x:f>
      </x:c>
      <x:c r="O74" s="32" t="str">
        <x:f>IF(A74="","",IF(OR(C74="",D74="",E74="",F74="",G74="",H74="",I74="",J74=""),"INCOMPLETE","READY"))</x:f>
      </x:c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32" t="str">
        <x:f>IF(A75="","",IF(OR(E75="L1",F75="medium",F75="high",G75="yes",H75="yes",I75="yes",J75="yes"),"higher","lower"))</x:f>
      </x:c>
      <x:c r="L75" s="32" t="str">
        <x:f>IF(A75="","",IF(K75="higher","AB",IF(D75="","NEEDS_ORDER",IF(MOD(D75,5)=0,"AB",IF(MOD(D75,2)=0,"A","B")))))</x:f>
      </x:c>
      <x:c r="M75" s="32" t="str">
        <x:f>IF(A75="","",IF(OR(L75="A",L75="AB"),"yes","no"))</x:f>
      </x:c>
      <x:c r="N75" s="32" t="str">
        <x:f>IF(A75="","",IF(OR(L75="B",L75="AB"),"yes","no"))</x:f>
      </x:c>
      <x:c r="O75" s="32" t="str">
        <x:f>IF(A75="","",IF(OR(C75="",D75="",E75="",F75="",G75="",H75="",I75="",J75=""),"INCOMPLETE","READY"))</x:f>
      </x:c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32" t="str">
        <x:f>IF(A76="","",IF(OR(E76="L1",F76="medium",F76="high",G76="yes",H76="yes",I76="yes",J76="yes"),"higher","lower"))</x:f>
      </x:c>
      <x:c r="L76" s="32" t="str">
        <x:f>IF(A76="","",IF(K76="higher","AB",IF(D76="","NEEDS_ORDER",IF(MOD(D76,5)=0,"AB",IF(MOD(D76,2)=0,"A","B")))))</x:f>
      </x:c>
      <x:c r="M76" s="32" t="str">
        <x:f>IF(A76="","",IF(OR(L76="A",L76="AB"),"yes","no"))</x:f>
      </x:c>
      <x:c r="N76" s="32" t="str">
        <x:f>IF(A76="","",IF(OR(L76="B",L76="AB"),"yes","no"))</x:f>
      </x:c>
      <x:c r="O76" s="32" t="str">
        <x:f>IF(A76="","",IF(OR(C76="",D76="",E76="",F76="",G76="",H76="",I76="",J76=""),"INCOMPLETE","READY"))</x:f>
      </x:c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32" t="str">
        <x:f>IF(A77="","",IF(OR(E77="L1",F77="medium",F77="high",G77="yes",H77="yes",I77="yes",J77="yes"),"higher","lower"))</x:f>
      </x:c>
      <x:c r="L77" s="32" t="str">
        <x:f>IF(A77="","",IF(K77="higher","AB",IF(D77="","NEEDS_ORDER",IF(MOD(D77,5)=0,"AB",IF(MOD(D77,2)=0,"A","B")))))</x:f>
      </x:c>
      <x:c r="M77" s="32" t="str">
        <x:f>IF(A77="","",IF(OR(L77="A",L77="AB"),"yes","no"))</x:f>
      </x:c>
      <x:c r="N77" s="32" t="str">
        <x:f>IF(A77="","",IF(OR(L77="B",L77="AB"),"yes","no"))</x:f>
      </x:c>
      <x:c r="O77" s="32" t="str">
        <x:f>IF(A77="","",IF(OR(C77="",D77="",E77="",F77="",G77="",H77="",I77="",J77=""),"INCOMPLETE","READY"))</x:f>
      </x:c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32" t="str">
        <x:f>IF(A78="","",IF(OR(E78="L1",F78="medium",F78="high",G78="yes",H78="yes",I78="yes",J78="yes"),"higher","lower"))</x:f>
      </x:c>
      <x:c r="L78" s="32" t="str">
        <x:f>IF(A78="","",IF(K78="higher","AB",IF(D78="","NEEDS_ORDER",IF(MOD(D78,5)=0,"AB",IF(MOD(D78,2)=0,"A","B")))))</x:f>
      </x:c>
      <x:c r="M78" s="32" t="str">
        <x:f>IF(A78="","",IF(OR(L78="A",L78="AB"),"yes","no"))</x:f>
      </x:c>
      <x:c r="N78" s="32" t="str">
        <x:f>IF(A78="","",IF(OR(L78="B",L78="AB"),"yes","no"))</x:f>
      </x:c>
      <x:c r="O78" s="32" t="str">
        <x:f>IF(A78="","",IF(OR(C78="",D78="",E78="",F78="",G78="",H78="",I78="",J78=""),"INCOMPLETE","READY"))</x:f>
      </x:c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32" t="str">
        <x:f>IF(A79="","",IF(OR(E79="L1",F79="medium",F79="high",G79="yes",H79="yes",I79="yes",J79="yes"),"higher","lower"))</x:f>
      </x:c>
      <x:c r="L79" s="32" t="str">
        <x:f>IF(A79="","",IF(K79="higher","AB",IF(D79="","NEEDS_ORDER",IF(MOD(D79,5)=0,"AB",IF(MOD(D79,2)=0,"A","B")))))</x:f>
      </x:c>
      <x:c r="M79" s="32" t="str">
        <x:f>IF(A79="","",IF(OR(L79="A",L79="AB"),"yes","no"))</x:f>
      </x:c>
      <x:c r="N79" s="32" t="str">
        <x:f>IF(A79="","",IF(OR(L79="B",L79="AB"),"yes","no"))</x:f>
      </x:c>
      <x:c r="O79" s="32" t="str">
        <x:f>IF(A79="","",IF(OR(C79="",D79="",E79="",F79="",G79="",H79="",I79="",J79=""),"INCOMPLETE","READY"))</x:f>
      </x:c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32" t="str">
        <x:f>IF(A80="","",IF(OR(E80="L1",F80="medium",F80="high",G80="yes",H80="yes",I80="yes",J80="yes"),"higher","lower"))</x:f>
      </x:c>
      <x:c r="L80" s="32" t="str">
        <x:f>IF(A80="","",IF(K80="higher","AB",IF(D80="","NEEDS_ORDER",IF(MOD(D80,5)=0,"AB",IF(MOD(D80,2)=0,"A","B")))))</x:f>
      </x:c>
      <x:c r="M80" s="32" t="str">
        <x:f>IF(A80="","",IF(OR(L80="A",L80="AB"),"yes","no"))</x:f>
      </x:c>
      <x:c r="N80" s="32" t="str">
        <x:f>IF(A80="","",IF(OR(L80="B",L80="AB"),"yes","no"))</x:f>
      </x:c>
      <x:c r="O80" s="32" t="str">
        <x:f>IF(A80="","",IF(OR(C80="",D80="",E80="",F80="",G80="",H80="",I80="",J80=""),"INCOMPLETE","READY"))</x:f>
      </x:c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32" t="str">
        <x:f>IF(A81="","",IF(OR(E81="L1",F81="medium",F81="high",G81="yes",H81="yes",I81="yes",J81="yes"),"higher","lower"))</x:f>
      </x:c>
      <x:c r="L81" s="32" t="str">
        <x:f>IF(A81="","",IF(K81="higher","AB",IF(D81="","NEEDS_ORDER",IF(MOD(D81,5)=0,"AB",IF(MOD(D81,2)=0,"A","B")))))</x:f>
      </x:c>
      <x:c r="M81" s="32" t="str">
        <x:f>IF(A81="","",IF(OR(L81="A",L81="AB"),"yes","no"))</x:f>
      </x:c>
      <x:c r="N81" s="32" t="str">
        <x:f>IF(A81="","",IF(OR(L81="B",L81="AB"),"yes","no"))</x:f>
      </x:c>
      <x:c r="O81" s="32" t="str">
        <x:f>IF(A81="","",IF(OR(C81="",D81="",E81="",F81="",G81="",H81="",I81="",J81=""),"INCOMPLETE","READY"))</x:f>
      </x:c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32" t="str">
        <x:f>IF(A82="","",IF(OR(E82="L1",F82="medium",F82="high",G82="yes",H82="yes",I82="yes",J82="yes"),"higher","lower"))</x:f>
      </x:c>
      <x:c r="L82" s="32" t="str">
        <x:f>IF(A82="","",IF(K82="higher","AB",IF(D82="","NEEDS_ORDER",IF(MOD(D82,5)=0,"AB",IF(MOD(D82,2)=0,"A","B")))))</x:f>
      </x:c>
      <x:c r="M82" s="32" t="str">
        <x:f>IF(A82="","",IF(OR(L82="A",L82="AB"),"yes","no"))</x:f>
      </x:c>
      <x:c r="N82" s="32" t="str">
        <x:f>IF(A82="","",IF(OR(L82="B",L82="AB"),"yes","no"))</x:f>
      </x:c>
      <x:c r="O82" s="32" t="str">
        <x:f>IF(A82="","",IF(OR(C82="",D82="",E82="",F82="",G82="",H82="",I82="",J82=""),"INCOMPLETE","READY"))</x:f>
      </x:c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32" t="str">
        <x:f>IF(A83="","",IF(OR(E83="L1",F83="medium",F83="high",G83="yes",H83="yes",I83="yes",J83="yes"),"higher","lower"))</x:f>
      </x:c>
      <x:c r="L83" s="32" t="str">
        <x:f>IF(A83="","",IF(K83="higher","AB",IF(D83="","NEEDS_ORDER",IF(MOD(D83,5)=0,"AB",IF(MOD(D83,2)=0,"A","B")))))</x:f>
      </x:c>
      <x:c r="M83" s="32" t="str">
        <x:f>IF(A83="","",IF(OR(L83="A",L83="AB"),"yes","no"))</x:f>
      </x:c>
      <x:c r="N83" s="32" t="str">
        <x:f>IF(A83="","",IF(OR(L83="B",L83="AB"),"yes","no"))</x:f>
      </x:c>
      <x:c r="O83" s="32" t="str">
        <x:f>IF(A83="","",IF(OR(C83="",D83="",E83="",F83="",G83="",H83="",I83="",J83=""),"INCOMPLETE","READY"))</x:f>
      </x:c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32" t="str">
        <x:f>IF(A84="","",IF(OR(E84="L1",F84="medium",F84="high",G84="yes",H84="yes",I84="yes",J84="yes"),"higher","lower"))</x:f>
      </x:c>
      <x:c r="L84" s="32" t="str">
        <x:f>IF(A84="","",IF(K84="higher","AB",IF(D84="","NEEDS_ORDER",IF(MOD(D84,5)=0,"AB",IF(MOD(D84,2)=0,"A","B")))))</x:f>
      </x:c>
      <x:c r="M84" s="32" t="str">
        <x:f>IF(A84="","",IF(OR(L84="A",L84="AB"),"yes","no"))</x:f>
      </x:c>
      <x:c r="N84" s="32" t="str">
        <x:f>IF(A84="","",IF(OR(L84="B",L84="AB"),"yes","no"))</x:f>
      </x:c>
      <x:c r="O84" s="32" t="str">
        <x:f>IF(A84="","",IF(OR(C84="",D84="",E84="",F84="",G84="",H84="",I84="",J84=""),"INCOMPLETE","READY"))</x:f>
      </x:c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32" t="str">
        <x:f>IF(A85="","",IF(OR(E85="L1",F85="medium",F85="high",G85="yes",H85="yes",I85="yes",J85="yes"),"higher","lower"))</x:f>
      </x:c>
      <x:c r="L85" s="32" t="str">
        <x:f>IF(A85="","",IF(K85="higher","AB",IF(D85="","NEEDS_ORDER",IF(MOD(D85,5)=0,"AB",IF(MOD(D85,2)=0,"A","B")))))</x:f>
      </x:c>
      <x:c r="M85" s="32" t="str">
        <x:f>IF(A85="","",IF(OR(L85="A",L85="AB"),"yes","no"))</x:f>
      </x:c>
      <x:c r="N85" s="32" t="str">
        <x:f>IF(A85="","",IF(OR(L85="B",L85="AB"),"yes","no"))</x:f>
      </x:c>
      <x:c r="O85" s="32" t="str">
        <x:f>IF(A85="","",IF(OR(C85="",D85="",E85="",F85="",G85="",H85="",I85="",J85=""),"INCOMPLETE","READY"))</x:f>
      </x:c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32" t="str">
        <x:f>IF(A86="","",IF(OR(E86="L1",F86="medium",F86="high",G86="yes",H86="yes",I86="yes",J86="yes"),"higher","lower"))</x:f>
      </x:c>
      <x:c r="L86" s="32" t="str">
        <x:f>IF(A86="","",IF(K86="higher","AB",IF(D86="","NEEDS_ORDER",IF(MOD(D86,5)=0,"AB",IF(MOD(D86,2)=0,"A","B")))))</x:f>
      </x:c>
      <x:c r="M86" s="32" t="str">
        <x:f>IF(A86="","",IF(OR(L86="A",L86="AB"),"yes","no"))</x:f>
      </x:c>
      <x:c r="N86" s="32" t="str">
        <x:f>IF(A86="","",IF(OR(L86="B",L86="AB"),"yes","no"))</x:f>
      </x:c>
      <x:c r="O86" s="32" t="str">
        <x:f>IF(A86="","",IF(OR(C86="",D86="",E86="",F86="",G86="",H86="",I86="",J86=""),"INCOMPLETE","READY"))</x:f>
      </x:c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32" t="str">
        <x:f>IF(A87="","",IF(OR(E87="L1",F87="medium",F87="high",G87="yes",H87="yes",I87="yes",J87="yes"),"higher","lower"))</x:f>
      </x:c>
      <x:c r="L87" s="32" t="str">
        <x:f>IF(A87="","",IF(K87="higher","AB",IF(D87="","NEEDS_ORDER",IF(MOD(D87,5)=0,"AB",IF(MOD(D87,2)=0,"A","B")))))</x:f>
      </x:c>
      <x:c r="M87" s="32" t="str">
        <x:f>IF(A87="","",IF(OR(L87="A",L87="AB"),"yes","no"))</x:f>
      </x:c>
      <x:c r="N87" s="32" t="str">
        <x:f>IF(A87="","",IF(OR(L87="B",L87="AB"),"yes","no"))</x:f>
      </x:c>
      <x:c r="O87" s="32" t="str">
        <x:f>IF(A87="","",IF(OR(C87="",D87="",E87="",F87="",G87="",H87="",I87="",J87=""),"INCOMPLETE","READY"))</x:f>
      </x:c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32" t="str">
        <x:f>IF(A88="","",IF(OR(E88="L1",F88="medium",F88="high",G88="yes",H88="yes",I88="yes",J88="yes"),"higher","lower"))</x:f>
      </x:c>
      <x:c r="L88" s="32" t="str">
        <x:f>IF(A88="","",IF(K88="higher","AB",IF(D88="","NEEDS_ORDER",IF(MOD(D88,5)=0,"AB",IF(MOD(D88,2)=0,"A","B")))))</x:f>
      </x:c>
      <x:c r="M88" s="32" t="str">
        <x:f>IF(A88="","",IF(OR(L88="A",L88="AB"),"yes","no"))</x:f>
      </x:c>
      <x:c r="N88" s="32" t="str">
        <x:f>IF(A88="","",IF(OR(L88="B",L88="AB"),"yes","no"))</x:f>
      </x:c>
      <x:c r="O88" s="32" t="str">
        <x:f>IF(A88="","",IF(OR(C88="",D88="",E88="",F88="",G88="",H88="",I88="",J88=""),"INCOMPLETE","READY"))</x:f>
      </x:c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32" t="str">
        <x:f>IF(A89="","",IF(OR(E89="L1",F89="medium",F89="high",G89="yes",H89="yes",I89="yes",J89="yes"),"higher","lower"))</x:f>
      </x:c>
      <x:c r="L89" s="32" t="str">
        <x:f>IF(A89="","",IF(K89="higher","AB",IF(D89="","NEEDS_ORDER",IF(MOD(D89,5)=0,"AB",IF(MOD(D89,2)=0,"A","B")))))</x:f>
      </x:c>
      <x:c r="M89" s="32" t="str">
        <x:f>IF(A89="","",IF(OR(L89="A",L89="AB"),"yes","no"))</x:f>
      </x:c>
      <x:c r="N89" s="32" t="str">
        <x:f>IF(A89="","",IF(OR(L89="B",L89="AB"),"yes","no"))</x:f>
      </x:c>
      <x:c r="O89" s="32" t="str">
        <x:f>IF(A89="","",IF(OR(C89="",D89="",E89="",F89="",G89="",H89="",I89="",J89=""),"INCOMPLETE","READY"))</x:f>
      </x:c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32" t="str">
        <x:f>IF(A90="","",IF(OR(E90="L1",F90="medium",F90="high",G90="yes",H90="yes",I90="yes",J90="yes"),"higher","lower"))</x:f>
      </x:c>
      <x:c r="L90" s="32" t="str">
        <x:f>IF(A90="","",IF(K90="higher","AB",IF(D90="","NEEDS_ORDER",IF(MOD(D90,5)=0,"AB",IF(MOD(D90,2)=0,"A","B")))))</x:f>
      </x:c>
      <x:c r="M90" s="32" t="str">
        <x:f>IF(A90="","",IF(OR(L90="A",L90="AB"),"yes","no"))</x:f>
      </x:c>
      <x:c r="N90" s="32" t="str">
        <x:f>IF(A90="","",IF(OR(L90="B",L90="AB"),"yes","no"))</x:f>
      </x:c>
      <x:c r="O90" s="32" t="str">
        <x:f>IF(A90="","",IF(OR(C90="",D90="",E90="",F90="",G90="",H90="",I90="",J90=""),"INCOMPLETE","READY"))</x:f>
      </x:c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32" t="str">
        <x:f>IF(A91="","",IF(OR(E91="L1",F91="medium",F91="high",G91="yes",H91="yes",I91="yes",J91="yes"),"higher","lower"))</x:f>
      </x:c>
      <x:c r="L91" s="32" t="str">
        <x:f>IF(A91="","",IF(K91="higher","AB",IF(D91="","NEEDS_ORDER",IF(MOD(D91,5)=0,"AB",IF(MOD(D91,2)=0,"A","B")))))</x:f>
      </x:c>
      <x:c r="M91" s="32" t="str">
        <x:f>IF(A91="","",IF(OR(L91="A",L91="AB"),"yes","no"))</x:f>
      </x:c>
      <x:c r="N91" s="32" t="str">
        <x:f>IF(A91="","",IF(OR(L91="B",L91="AB"),"yes","no"))</x:f>
      </x:c>
      <x:c r="O91" s="32" t="str">
        <x:f>IF(A91="","",IF(OR(C91="",D91="",E91="",F91="",G91="",H91="",I91="",J91=""),"INCOMPLETE","READY"))</x:f>
      </x:c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32" t="str">
        <x:f>IF(A92="","",IF(OR(E92="L1",F92="medium",F92="high",G92="yes",H92="yes",I92="yes",J92="yes"),"higher","lower"))</x:f>
      </x:c>
      <x:c r="L92" s="32" t="str">
        <x:f>IF(A92="","",IF(K92="higher","AB",IF(D92="","NEEDS_ORDER",IF(MOD(D92,5)=0,"AB",IF(MOD(D92,2)=0,"A","B")))))</x:f>
      </x:c>
      <x:c r="M92" s="32" t="str">
        <x:f>IF(A92="","",IF(OR(L92="A",L92="AB"),"yes","no"))</x:f>
      </x:c>
      <x:c r="N92" s="32" t="str">
        <x:f>IF(A92="","",IF(OR(L92="B",L92="AB"),"yes","no"))</x:f>
      </x:c>
      <x:c r="O92" s="32" t="str">
        <x:f>IF(A92="","",IF(OR(C92="",D92="",E92="",F92="",G92="",H92="",I92="",J92=""),"INCOMPLETE","READY"))</x:f>
      </x:c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32" t="str">
        <x:f>IF(A93="","",IF(OR(E93="L1",F93="medium",F93="high",G93="yes",H93="yes",I93="yes",J93="yes"),"higher","lower"))</x:f>
      </x:c>
      <x:c r="L93" s="32" t="str">
        <x:f>IF(A93="","",IF(K93="higher","AB",IF(D93="","NEEDS_ORDER",IF(MOD(D93,5)=0,"AB",IF(MOD(D93,2)=0,"A","B")))))</x:f>
      </x:c>
      <x:c r="M93" s="32" t="str">
        <x:f>IF(A93="","",IF(OR(L93="A",L93="AB"),"yes","no"))</x:f>
      </x:c>
      <x:c r="N93" s="32" t="str">
        <x:f>IF(A93="","",IF(OR(L93="B",L93="AB"),"yes","no"))</x:f>
      </x:c>
      <x:c r="O93" s="32" t="str">
        <x:f>IF(A93="","",IF(OR(C93="",D93="",E93="",F93="",G93="",H93="",I93="",J93=""),"INCOMPLETE","READY"))</x:f>
      </x:c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32" t="str">
        <x:f>IF(A94="","",IF(OR(E94="L1",F94="medium",F94="high",G94="yes",H94="yes",I94="yes",J94="yes"),"higher","lower"))</x:f>
      </x:c>
      <x:c r="L94" s="32" t="str">
        <x:f>IF(A94="","",IF(K94="higher","AB",IF(D94="","NEEDS_ORDER",IF(MOD(D94,5)=0,"AB",IF(MOD(D94,2)=0,"A","B")))))</x:f>
      </x:c>
      <x:c r="M94" s="32" t="str">
        <x:f>IF(A94="","",IF(OR(L94="A",L94="AB"),"yes","no"))</x:f>
      </x:c>
      <x:c r="N94" s="32" t="str">
        <x:f>IF(A94="","",IF(OR(L94="B",L94="AB"),"yes","no"))</x:f>
      </x:c>
      <x:c r="O94" s="32" t="str">
        <x:f>IF(A94="","",IF(OR(C94="",D94="",E94="",F94="",G94="",H94="",I94="",J94=""),"INCOMPLETE","READY"))</x:f>
      </x:c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32" t="str">
        <x:f>IF(A95="","",IF(OR(E95="L1",F95="medium",F95="high",G95="yes",H95="yes",I95="yes",J95="yes"),"higher","lower"))</x:f>
      </x:c>
      <x:c r="L95" s="32" t="str">
        <x:f>IF(A95="","",IF(K95="higher","AB",IF(D95="","NEEDS_ORDER",IF(MOD(D95,5)=0,"AB",IF(MOD(D95,2)=0,"A","B")))))</x:f>
      </x:c>
      <x:c r="M95" s="32" t="str">
        <x:f>IF(A95="","",IF(OR(L95="A",L95="AB"),"yes","no"))</x:f>
      </x:c>
      <x:c r="N95" s="32" t="str">
        <x:f>IF(A95="","",IF(OR(L95="B",L95="AB"),"yes","no"))</x:f>
      </x:c>
      <x:c r="O95" s="32" t="str">
        <x:f>IF(A95="","",IF(OR(C95="",D95="",E95="",F95="",G95="",H95="",I95="",J95=""),"INCOMPLETE","READY"))</x:f>
      </x:c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32" t="str">
        <x:f>IF(A96="","",IF(OR(E96="L1",F96="medium",F96="high",G96="yes",H96="yes",I96="yes",J96="yes"),"higher","lower"))</x:f>
      </x:c>
      <x:c r="L96" s="32" t="str">
        <x:f>IF(A96="","",IF(K96="higher","AB",IF(D96="","NEEDS_ORDER",IF(MOD(D96,5)=0,"AB",IF(MOD(D96,2)=0,"A","B")))))</x:f>
      </x:c>
      <x:c r="M96" s="32" t="str">
        <x:f>IF(A96="","",IF(OR(L96="A",L96="AB"),"yes","no"))</x:f>
      </x:c>
      <x:c r="N96" s="32" t="str">
        <x:f>IF(A96="","",IF(OR(L96="B",L96="AB"),"yes","no"))</x:f>
      </x:c>
      <x:c r="O96" s="32" t="str">
        <x:f>IF(A96="","",IF(OR(C96="",D96="",E96="",F96="",G96="",H96="",I96="",J96=""),"INCOMPLETE","READY"))</x:f>
      </x:c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32" t="str">
        <x:f>IF(A97="","",IF(OR(E97="L1",F97="medium",F97="high",G97="yes",H97="yes",I97="yes",J97="yes"),"higher","lower"))</x:f>
      </x:c>
      <x:c r="L97" s="32" t="str">
        <x:f>IF(A97="","",IF(K97="higher","AB",IF(D97="","NEEDS_ORDER",IF(MOD(D97,5)=0,"AB",IF(MOD(D97,2)=0,"A","B")))))</x:f>
      </x:c>
      <x:c r="M97" s="32" t="str">
        <x:f>IF(A97="","",IF(OR(L97="A",L97="AB"),"yes","no"))</x:f>
      </x:c>
      <x:c r="N97" s="32" t="str">
        <x:f>IF(A97="","",IF(OR(L97="B",L97="AB"),"yes","no"))</x:f>
      </x:c>
      <x:c r="O97" s="32" t="str">
        <x:f>IF(A97="","",IF(OR(C97="",D97="",E97="",F97="",G97="",H97="",I97="",J97=""),"INCOMPLETE","READY"))</x:f>
      </x:c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32" t="str">
        <x:f>IF(A98="","",IF(OR(E98="L1",F98="medium",F98="high",G98="yes",H98="yes",I98="yes",J98="yes"),"higher","lower"))</x:f>
      </x:c>
      <x:c r="L98" s="32" t="str">
        <x:f>IF(A98="","",IF(K98="higher","AB",IF(D98="","NEEDS_ORDER",IF(MOD(D98,5)=0,"AB",IF(MOD(D98,2)=0,"A","B")))))</x:f>
      </x:c>
      <x:c r="M98" s="32" t="str">
        <x:f>IF(A98="","",IF(OR(L98="A",L98="AB"),"yes","no"))</x:f>
      </x:c>
      <x:c r="N98" s="32" t="str">
        <x:f>IF(A98="","",IF(OR(L98="B",L98="AB"),"yes","no"))</x:f>
      </x:c>
      <x:c r="O98" s="32" t="str">
        <x:f>IF(A98="","",IF(OR(C98="",D98="",E98="",F98="",G98="",H98="",I98="",J98=""),"INCOMPLETE","READY"))</x:f>
      </x:c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32" t="str">
        <x:f>IF(A99="","",IF(OR(E99="L1",F99="medium",F99="high",G99="yes",H99="yes",I99="yes",J99="yes"),"higher","lower"))</x:f>
      </x:c>
      <x:c r="L99" s="32" t="str">
        <x:f>IF(A99="","",IF(K99="higher","AB",IF(D99="","NEEDS_ORDER",IF(MOD(D99,5)=0,"AB",IF(MOD(D99,2)=0,"A","B")))))</x:f>
      </x:c>
      <x:c r="M99" s="32" t="str">
        <x:f>IF(A99="","",IF(OR(L99="A",L99="AB"),"yes","no"))</x:f>
      </x:c>
      <x:c r="N99" s="32" t="str">
        <x:f>IF(A99="","",IF(OR(L99="B",L99="AB"),"yes","no"))</x:f>
      </x:c>
      <x:c r="O99" s="32" t="str">
        <x:f>IF(A99="","",IF(OR(C99="",D99="",E99="",F99="",G99="",H99="",I99="",J99=""),"INCOMPLETE","READY"))</x:f>
      </x:c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32" t="str">
        <x:f>IF(A100="","",IF(OR(E100="L1",F100="medium",F100="high",G100="yes",H100="yes",I100="yes",J100="yes"),"higher","lower"))</x:f>
      </x:c>
      <x:c r="L100" s="32" t="str">
        <x:f>IF(A100="","",IF(K100="higher","AB",IF(D100="","NEEDS_ORDER",IF(MOD(D100,5)=0,"AB",IF(MOD(D100,2)=0,"A","B")))))</x:f>
      </x:c>
      <x:c r="M100" s="32" t="str">
        <x:f>IF(A100="","",IF(OR(L100="A",L100="AB"),"yes","no"))</x:f>
      </x:c>
      <x:c r="N100" s="32" t="str">
        <x:f>IF(A100="","",IF(OR(L100="B",L100="AB"),"yes","no"))</x:f>
      </x:c>
      <x:c r="O100" s="32" t="str">
        <x:f>IF(A100="","",IF(OR(C100="",D100="",E100="",F100="",G100="",H100="",I100="",J100=""),"INCOMPLETE","READY"))</x:f>
      </x:c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32" t="str">
        <x:f>IF(A101="","",IF(OR(E101="L1",F101="medium",F101="high",G101="yes",H101="yes",I101="yes",J101="yes"),"higher","lower"))</x:f>
      </x:c>
      <x:c r="L101" s="32" t="str">
        <x:f>IF(A101="","",IF(K101="higher","AB",IF(D101="","NEEDS_ORDER",IF(MOD(D101,5)=0,"AB",IF(MOD(D101,2)=0,"A","B")))))</x:f>
      </x:c>
      <x:c r="M101" s="32" t="str">
        <x:f>IF(A101="","",IF(OR(L101="A",L101="AB"),"yes","no"))</x:f>
      </x:c>
      <x:c r="N101" s="32" t="str">
        <x:f>IF(A101="","",IF(OR(L101="B",L101="AB"),"yes","no"))</x:f>
      </x:c>
      <x:c r="O101" s="32" t="str">
        <x:f>IF(A101="","",IF(OR(C101="",D101="",E101="",F101="",G101="",H101="",I101="",J101=""),"INCOMPLETE","READY"))</x:f>
      </x:c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32" t="str">
        <x:f>IF(A102="","",IF(OR(E102="L1",F102="medium",F102="high",G102="yes",H102="yes",I102="yes",J102="yes"),"higher","lower"))</x:f>
      </x:c>
      <x:c r="L102" s="32" t="str">
        <x:f>IF(A102="","",IF(K102="higher","AB",IF(D102="","NEEDS_ORDER",IF(MOD(D102,5)=0,"AB",IF(MOD(D102,2)=0,"A","B")))))</x:f>
      </x:c>
      <x:c r="M102" s="32" t="str">
        <x:f>IF(A102="","",IF(OR(L102="A",L102="AB"),"yes","no"))</x:f>
      </x:c>
      <x:c r="N102" s="32" t="str">
        <x:f>IF(A102="","",IF(OR(L102="B",L102="AB"),"yes","no"))</x:f>
      </x:c>
      <x:c r="O102" s="32" t="str">
        <x:f>IF(A102="","",IF(OR(C102="",D102="",E102="",F102="",G102="",H102="",I102="",J102=""),"INCOMPLETE","READY"))</x:f>
      </x:c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32" t="str">
        <x:f>IF(A103="","",IF(OR(E103="L1",F103="medium",F103="high",G103="yes",H103="yes",I103="yes",J103="yes"),"higher","lower"))</x:f>
      </x:c>
      <x:c r="L103" s="32" t="str">
        <x:f>IF(A103="","",IF(K103="higher","AB",IF(D103="","NEEDS_ORDER",IF(MOD(D103,5)=0,"AB",IF(MOD(D103,2)=0,"A","B")))))</x:f>
      </x:c>
      <x:c r="M103" s="32" t="str">
        <x:f>IF(A103="","",IF(OR(L103="A",L103="AB"),"yes","no"))</x:f>
      </x:c>
      <x:c r="N103" s="32" t="str">
        <x:f>IF(A103="","",IF(OR(L103="B",L103="AB"),"yes","no"))</x:f>
      </x:c>
      <x:c r="O103" s="32" t="str">
        <x:f>IF(A103="","",IF(OR(C103="",D103="",E103="",F103="",G103="",H103="",I103="",J103=""),"INCOMPLETE","READY"))</x:f>
      </x:c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32" t="str">
        <x:f>IF(A104="","",IF(OR(E104="L1",F104="medium",F104="high",G104="yes",H104="yes",I104="yes",J104="yes"),"higher","lower"))</x:f>
      </x:c>
      <x:c r="L104" s="32" t="str">
        <x:f>IF(A104="","",IF(K104="higher","AB",IF(D104="","NEEDS_ORDER",IF(MOD(D104,5)=0,"AB",IF(MOD(D104,2)=0,"A","B")))))</x:f>
      </x:c>
      <x:c r="M104" s="32" t="str">
        <x:f>IF(A104="","",IF(OR(L104="A",L104="AB"),"yes","no"))</x:f>
      </x:c>
      <x:c r="N104" s="32" t="str">
        <x:f>IF(A104="","",IF(OR(L104="B",L104="AB"),"yes","no"))</x:f>
      </x:c>
      <x:c r="O104" s="32" t="str">
        <x:f>IF(A104="","",IF(OR(C104="",D104="",E104="",F104="",G104="",H104="",I104="",J104=""),"INCOMPLETE","READY"))</x:f>
      </x:c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32" t="str">
        <x:f>IF(A105="","",IF(OR(E105="L1",F105="medium",F105="high",G105="yes",H105="yes",I105="yes",J105="yes"),"higher","lower"))</x:f>
      </x:c>
      <x:c r="L105" s="32" t="str">
        <x:f>IF(A105="","",IF(K105="higher","AB",IF(D105="","NEEDS_ORDER",IF(MOD(D105,5)=0,"AB",IF(MOD(D105,2)=0,"A","B")))))</x:f>
      </x:c>
      <x:c r="M105" s="32" t="str">
        <x:f>IF(A105="","",IF(OR(L105="A",L105="AB"),"yes","no"))</x:f>
      </x:c>
      <x:c r="N105" s="32" t="str">
        <x:f>IF(A105="","",IF(OR(L105="B",L105="AB"),"yes","no"))</x:f>
      </x:c>
      <x:c r="O105" s="32" t="str">
        <x:f>IF(A105="","",IF(OR(C105="",D105="",E105="",F105="",G105="",H105="",I105="",J105=""),"INCOMPLETE","READY"))</x:f>
      </x:c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32" t="str">
        <x:f>IF(A106="","",IF(OR(E106="L1",F106="medium",F106="high",G106="yes",H106="yes",I106="yes",J106="yes"),"higher","lower"))</x:f>
      </x:c>
      <x:c r="L106" s="32" t="str">
        <x:f>IF(A106="","",IF(K106="higher","AB",IF(D106="","NEEDS_ORDER",IF(MOD(D106,5)=0,"AB",IF(MOD(D106,2)=0,"A","B")))))</x:f>
      </x:c>
      <x:c r="M106" s="32" t="str">
        <x:f>IF(A106="","",IF(OR(L106="A",L106="AB"),"yes","no"))</x:f>
      </x:c>
      <x:c r="N106" s="32" t="str">
        <x:f>IF(A106="","",IF(OR(L106="B",L106="AB"),"yes","no"))</x:f>
      </x:c>
      <x:c r="O106" s="32" t="str">
        <x:f>IF(A106="","",IF(OR(C106="",D106="",E106="",F106="",G106="",H106="",I106="",J106=""),"INCOMPLETE","READY"))</x:f>
      </x:c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32" t="str">
        <x:f>IF(A107="","",IF(OR(E107="L1",F107="medium",F107="high",G107="yes",H107="yes",I107="yes",J107="yes"),"higher","lower"))</x:f>
      </x:c>
      <x:c r="L107" s="32" t="str">
        <x:f>IF(A107="","",IF(K107="higher","AB",IF(D107="","NEEDS_ORDER",IF(MOD(D107,5)=0,"AB",IF(MOD(D107,2)=0,"A","B")))))</x:f>
      </x:c>
      <x:c r="M107" s="32" t="str">
        <x:f>IF(A107="","",IF(OR(L107="A",L107="AB"),"yes","no"))</x:f>
      </x:c>
      <x:c r="N107" s="32" t="str">
        <x:f>IF(A107="","",IF(OR(L107="B",L107="AB"),"yes","no"))</x:f>
      </x:c>
      <x:c r="O107" s="32" t="str">
        <x:f>IF(A107="","",IF(OR(C107="",D107="",E107="",F107="",G107="",H107="",I107="",J107=""),"INCOMPLETE","READY"))</x:f>
      </x:c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32" t="str">
        <x:f>IF(A108="","",IF(OR(E108="L1",F108="medium",F108="high",G108="yes",H108="yes",I108="yes",J108="yes"),"higher","lower"))</x:f>
      </x:c>
      <x:c r="L108" s="32" t="str">
        <x:f>IF(A108="","",IF(K108="higher","AB",IF(D108="","NEEDS_ORDER",IF(MOD(D108,5)=0,"AB",IF(MOD(D108,2)=0,"A","B")))))</x:f>
      </x:c>
      <x:c r="M108" s="32" t="str">
        <x:f>IF(A108="","",IF(OR(L108="A",L108="AB"),"yes","no"))</x:f>
      </x:c>
      <x:c r="N108" s="32" t="str">
        <x:f>IF(A108="","",IF(OR(L108="B",L108="AB"),"yes","no"))</x:f>
      </x:c>
      <x:c r="O108" s="32" t="str">
        <x:f>IF(A108="","",IF(OR(C108="",D108="",E108="",F108="",G108="",H108="",I108="",J108=""),"INCOMPLETE","READY"))</x:f>
      </x:c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32" t="str">
        <x:f>IF(A109="","",IF(OR(E109="L1",F109="medium",F109="high",G109="yes",H109="yes",I109="yes",J109="yes"),"higher","lower"))</x:f>
      </x:c>
      <x:c r="L109" s="32" t="str">
        <x:f>IF(A109="","",IF(K109="higher","AB",IF(D109="","NEEDS_ORDER",IF(MOD(D109,5)=0,"AB",IF(MOD(D109,2)=0,"A","B")))))</x:f>
      </x:c>
      <x:c r="M109" s="32" t="str">
        <x:f>IF(A109="","",IF(OR(L109="A",L109="AB"),"yes","no"))</x:f>
      </x:c>
      <x:c r="N109" s="32" t="str">
        <x:f>IF(A109="","",IF(OR(L109="B",L109="AB"),"yes","no"))</x:f>
      </x:c>
      <x:c r="O109" s="32" t="str">
        <x:f>IF(A109="","",IF(OR(C109="",D109="",E109="",F109="",G109="",H109="",I109="",J109=""),"INCOMPLETE","READY"))</x:f>
      </x:c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32" t="str">
        <x:f>IF(A110="","",IF(OR(E110="L1",F110="medium",F110="high",G110="yes",H110="yes",I110="yes",J110="yes"),"higher","lower"))</x:f>
      </x:c>
      <x:c r="L110" s="32" t="str">
        <x:f>IF(A110="","",IF(K110="higher","AB",IF(D110="","NEEDS_ORDER",IF(MOD(D110,5)=0,"AB",IF(MOD(D110,2)=0,"A","B")))))</x:f>
      </x:c>
      <x:c r="M110" s="32" t="str">
        <x:f>IF(A110="","",IF(OR(L110="A",L110="AB"),"yes","no"))</x:f>
      </x:c>
      <x:c r="N110" s="32" t="str">
        <x:f>IF(A110="","",IF(OR(L110="B",L110="AB"),"yes","no"))</x:f>
      </x:c>
      <x:c r="O110" s="32" t="str">
        <x:f>IF(A110="","",IF(OR(C110="",D110="",E110="",F110="",G110="",H110="",I110="",J110=""),"INCOMPLETE","READY"))</x:f>
      </x:c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32" t="str">
        <x:f>IF(A111="","",IF(OR(E111="L1",F111="medium",F111="high",G111="yes",H111="yes",I111="yes",J111="yes"),"higher","lower"))</x:f>
      </x:c>
      <x:c r="L111" s="32" t="str">
        <x:f>IF(A111="","",IF(K111="higher","AB",IF(D111="","NEEDS_ORDER",IF(MOD(D111,5)=0,"AB",IF(MOD(D111,2)=0,"A","B")))))</x:f>
      </x:c>
      <x:c r="M111" s="32" t="str">
        <x:f>IF(A111="","",IF(OR(L111="A",L111="AB"),"yes","no"))</x:f>
      </x:c>
      <x:c r="N111" s="32" t="str">
        <x:f>IF(A111="","",IF(OR(L111="B",L111="AB"),"yes","no"))</x:f>
      </x:c>
      <x:c r="O111" s="32" t="str">
        <x:f>IF(A111="","",IF(OR(C111="",D111="",E111="",F111="",G111="",H111="",I111="",J111=""),"INCOMPLETE","READY"))</x:f>
      </x:c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32" t="str">
        <x:f>IF(A112="","",IF(OR(E112="L1",F112="medium",F112="high",G112="yes",H112="yes",I112="yes",J112="yes"),"higher","lower"))</x:f>
      </x:c>
      <x:c r="L112" s="32" t="str">
        <x:f>IF(A112="","",IF(K112="higher","AB",IF(D112="","NEEDS_ORDER",IF(MOD(D112,5)=0,"AB",IF(MOD(D112,2)=0,"A","B")))))</x:f>
      </x:c>
      <x:c r="M112" s="32" t="str">
        <x:f>IF(A112="","",IF(OR(L112="A",L112="AB"),"yes","no"))</x:f>
      </x:c>
      <x:c r="N112" s="32" t="str">
        <x:f>IF(A112="","",IF(OR(L112="B",L112="AB"),"yes","no"))</x:f>
      </x:c>
      <x:c r="O112" s="32" t="str">
        <x:f>IF(A112="","",IF(OR(C112="",D112="",E112="",F112="",G112="",H112="",I112="",J112=""),"INCOMPLETE","READY"))</x:f>
      </x:c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32" t="str">
        <x:f>IF(A113="","",IF(OR(E113="L1",F113="medium",F113="high",G113="yes",H113="yes",I113="yes",J113="yes"),"higher","lower"))</x:f>
      </x:c>
      <x:c r="L113" s="32" t="str">
        <x:f>IF(A113="","",IF(K113="higher","AB",IF(D113="","NEEDS_ORDER",IF(MOD(D113,5)=0,"AB",IF(MOD(D113,2)=0,"A","B")))))</x:f>
      </x:c>
      <x:c r="M113" s="32" t="str">
        <x:f>IF(A113="","",IF(OR(L113="A",L113="AB"),"yes","no"))</x:f>
      </x:c>
      <x:c r="N113" s="32" t="str">
        <x:f>IF(A113="","",IF(OR(L113="B",L113="AB"),"yes","no"))</x:f>
      </x:c>
      <x:c r="O113" s="32" t="str">
        <x:f>IF(A113="","",IF(OR(C113="",D113="",E113="",F113="",G113="",H113="",I113="",J113=""),"INCOMPLETE","READY"))</x:f>
      </x:c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32" t="str">
        <x:f>IF(A114="","",IF(OR(E114="L1",F114="medium",F114="high",G114="yes",H114="yes",I114="yes",J114="yes"),"higher","lower"))</x:f>
      </x:c>
      <x:c r="L114" s="32" t="str">
        <x:f>IF(A114="","",IF(K114="higher","AB",IF(D114="","NEEDS_ORDER",IF(MOD(D114,5)=0,"AB",IF(MOD(D114,2)=0,"A","B")))))</x:f>
      </x:c>
      <x:c r="M114" s="32" t="str">
        <x:f>IF(A114="","",IF(OR(L114="A",L114="AB"),"yes","no"))</x:f>
      </x:c>
      <x:c r="N114" s="32" t="str">
        <x:f>IF(A114="","",IF(OR(L114="B",L114="AB"),"yes","no"))</x:f>
      </x:c>
      <x:c r="O114" s="32" t="str">
        <x:f>IF(A114="","",IF(OR(C114="",D114="",E114="",F114="",G114="",H114="",I114="",J114=""),"INCOMPLETE","READY"))</x:f>
      </x:c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32" t="str">
        <x:f>IF(A115="","",IF(OR(E115="L1",F115="medium",F115="high",G115="yes",H115="yes",I115="yes",J115="yes"),"higher","lower"))</x:f>
      </x:c>
      <x:c r="L115" s="32" t="str">
        <x:f>IF(A115="","",IF(K115="higher","AB",IF(D115="","NEEDS_ORDER",IF(MOD(D115,5)=0,"AB",IF(MOD(D115,2)=0,"A","B")))))</x:f>
      </x:c>
      <x:c r="M115" s="32" t="str">
        <x:f>IF(A115="","",IF(OR(L115="A",L115="AB"),"yes","no"))</x:f>
      </x:c>
      <x:c r="N115" s="32" t="str">
        <x:f>IF(A115="","",IF(OR(L115="B",L115="AB"),"yes","no"))</x:f>
      </x:c>
      <x:c r="O115" s="32" t="str">
        <x:f>IF(A115="","",IF(OR(C115="",D115="",E115="",F115="",G115="",H115="",I115="",J115=""),"INCOMPLETE","READY"))</x:f>
      </x:c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32" t="str">
        <x:f>IF(A116="","",IF(OR(E116="L1",F116="medium",F116="high",G116="yes",H116="yes",I116="yes",J116="yes"),"higher","lower"))</x:f>
      </x:c>
      <x:c r="L116" s="32" t="str">
        <x:f>IF(A116="","",IF(K116="higher","AB",IF(D116="","NEEDS_ORDER",IF(MOD(D116,5)=0,"AB",IF(MOD(D116,2)=0,"A","B")))))</x:f>
      </x:c>
      <x:c r="M116" s="32" t="str">
        <x:f>IF(A116="","",IF(OR(L116="A",L116="AB"),"yes","no"))</x:f>
      </x:c>
      <x:c r="N116" s="32" t="str">
        <x:f>IF(A116="","",IF(OR(L116="B",L116="AB"),"yes","no"))</x:f>
      </x:c>
      <x:c r="O116" s="32" t="str">
        <x:f>IF(A116="","",IF(OR(C116="",D116="",E116="",F116="",G116="",H116="",I116="",J116=""),"INCOMPLETE","READY"))</x:f>
      </x:c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32" t="str">
        <x:f>IF(A117="","",IF(OR(E117="L1",F117="medium",F117="high",G117="yes",H117="yes",I117="yes",J117="yes"),"higher","lower"))</x:f>
      </x:c>
      <x:c r="L117" s="32" t="str">
        <x:f>IF(A117="","",IF(K117="higher","AB",IF(D117="","NEEDS_ORDER",IF(MOD(D117,5)=0,"AB",IF(MOD(D117,2)=0,"A","B")))))</x:f>
      </x:c>
      <x:c r="M117" s="32" t="str">
        <x:f>IF(A117="","",IF(OR(L117="A",L117="AB"),"yes","no"))</x:f>
      </x:c>
      <x:c r="N117" s="32" t="str">
        <x:f>IF(A117="","",IF(OR(L117="B",L117="AB"),"yes","no"))</x:f>
      </x:c>
      <x:c r="O117" s="32" t="str">
        <x:f>IF(A117="","",IF(OR(C117="",D117="",E117="",F117="",G117="",H117="",I117="",J117=""),"INCOMPLETE","READY"))</x:f>
      </x:c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32" t="str">
        <x:f>IF(A118="","",IF(OR(E118="L1",F118="medium",F118="high",G118="yes",H118="yes",I118="yes",J118="yes"),"higher","lower"))</x:f>
      </x:c>
      <x:c r="L118" s="32" t="str">
        <x:f>IF(A118="","",IF(K118="higher","AB",IF(D118="","NEEDS_ORDER",IF(MOD(D118,5)=0,"AB",IF(MOD(D118,2)=0,"A","B")))))</x:f>
      </x:c>
      <x:c r="M118" s="32" t="str">
        <x:f>IF(A118="","",IF(OR(L118="A",L118="AB"),"yes","no"))</x:f>
      </x:c>
      <x:c r="N118" s="32" t="str">
        <x:f>IF(A118="","",IF(OR(L118="B",L118="AB"),"yes","no"))</x:f>
      </x:c>
      <x:c r="O118" s="32" t="str">
        <x:f>IF(A118="","",IF(OR(C118="",D118="",E118="",F118="",G118="",H118="",I118="",J118=""),"INCOMPLETE","READY"))</x:f>
      </x:c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32" t="str">
        <x:f>IF(A119="","",IF(OR(E119="L1",F119="medium",F119="high",G119="yes",H119="yes",I119="yes",J119="yes"),"higher","lower"))</x:f>
      </x:c>
      <x:c r="L119" s="32" t="str">
        <x:f>IF(A119="","",IF(K119="higher","AB",IF(D119="","NEEDS_ORDER",IF(MOD(D119,5)=0,"AB",IF(MOD(D119,2)=0,"A","B")))))</x:f>
      </x:c>
      <x:c r="M119" s="32" t="str">
        <x:f>IF(A119="","",IF(OR(L119="A",L119="AB"),"yes","no"))</x:f>
      </x:c>
      <x:c r="N119" s="32" t="str">
        <x:f>IF(A119="","",IF(OR(L119="B",L119="AB"),"yes","no"))</x:f>
      </x:c>
      <x:c r="O119" s="32" t="str">
        <x:f>IF(A119="","",IF(OR(C119="",D119="",E119="",F119="",G119="",H119="",I119="",J119=""),"INCOMPLETE","READY"))</x:f>
      </x:c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32" t="str">
        <x:f>IF(A120="","",IF(OR(E120="L1",F120="medium",F120="high",G120="yes",H120="yes",I120="yes",J120="yes"),"higher","lower"))</x:f>
      </x:c>
      <x:c r="L120" s="32" t="str">
        <x:f>IF(A120="","",IF(K120="higher","AB",IF(D120="","NEEDS_ORDER",IF(MOD(D120,5)=0,"AB",IF(MOD(D120,2)=0,"A","B")))))</x:f>
      </x:c>
      <x:c r="M120" s="32" t="str">
        <x:f>IF(A120="","",IF(OR(L120="A",L120="AB"),"yes","no"))</x:f>
      </x:c>
      <x:c r="N120" s="32" t="str">
        <x:f>IF(A120="","",IF(OR(L120="B",L120="AB"),"yes","no"))</x:f>
      </x:c>
      <x:c r="O120" s="32" t="str">
        <x:f>IF(A120="","",IF(OR(C120="",D120="",E120="",F120="",G120="",H120="",I120="",J120=""),"INCOMPLETE","READY"))</x:f>
      </x:c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32" t="str">
        <x:f>IF(A121="","",IF(OR(E121="L1",F121="medium",F121="high",G121="yes",H121="yes",I121="yes",J121="yes"),"higher","lower"))</x:f>
      </x:c>
      <x:c r="L121" s="32" t="str">
        <x:f>IF(A121="","",IF(K121="higher","AB",IF(D121="","NEEDS_ORDER",IF(MOD(D121,5)=0,"AB",IF(MOD(D121,2)=0,"A","B")))))</x:f>
      </x:c>
      <x:c r="M121" s="32" t="str">
        <x:f>IF(A121="","",IF(OR(L121="A",L121="AB"),"yes","no"))</x:f>
      </x:c>
      <x:c r="N121" s="32" t="str">
        <x:f>IF(A121="","",IF(OR(L121="B",L121="AB"),"yes","no"))</x:f>
      </x:c>
      <x:c r="O121" s="32" t="str">
        <x:f>IF(A121="","",IF(OR(C121="",D121="",E121="",F121="",G121="",H121="",I121="",J121=""),"INCOMPLETE","READY"))</x:f>
      </x:c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32" t="str">
        <x:f>IF(A122="","",IF(OR(E122="L1",F122="medium",F122="high",G122="yes",H122="yes",I122="yes",J122="yes"),"higher","lower"))</x:f>
      </x:c>
      <x:c r="L122" s="32" t="str">
        <x:f>IF(A122="","",IF(K122="higher","AB",IF(D122="","NEEDS_ORDER",IF(MOD(D122,5)=0,"AB",IF(MOD(D122,2)=0,"A","B")))))</x:f>
      </x:c>
      <x:c r="M122" s="32" t="str">
        <x:f>IF(A122="","",IF(OR(L122="A",L122="AB"),"yes","no"))</x:f>
      </x:c>
      <x:c r="N122" s="32" t="str">
        <x:f>IF(A122="","",IF(OR(L122="B",L122="AB"),"yes","no"))</x:f>
      </x:c>
      <x:c r="O122" s="32" t="str">
        <x:f>IF(A122="","",IF(OR(C122="",D122="",E122="",F122="",G122="",H122="",I122="",J122=""),"INCOMPLETE","READY"))</x:f>
      </x:c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32" t="str">
        <x:f>IF(A123="","",IF(OR(E123="L1",F123="medium",F123="high",G123="yes",H123="yes",I123="yes",J123="yes"),"higher","lower"))</x:f>
      </x:c>
      <x:c r="L123" s="32" t="str">
        <x:f>IF(A123="","",IF(K123="higher","AB",IF(D123="","NEEDS_ORDER",IF(MOD(D123,5)=0,"AB",IF(MOD(D123,2)=0,"A","B")))))</x:f>
      </x:c>
      <x:c r="M123" s="32" t="str">
        <x:f>IF(A123="","",IF(OR(L123="A",L123="AB"),"yes","no"))</x:f>
      </x:c>
      <x:c r="N123" s="32" t="str">
        <x:f>IF(A123="","",IF(OR(L123="B",L123="AB"),"yes","no"))</x:f>
      </x:c>
      <x:c r="O123" s="32" t="str">
        <x:f>IF(A123="","",IF(OR(C123="",D123="",E123="",F123="",G123="",H123="",I123="",J123=""),"INCOMPLETE","READY"))</x:f>
      </x:c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32" t="str">
        <x:f>IF(A124="","",IF(OR(E124="L1",F124="medium",F124="high",G124="yes",H124="yes",I124="yes",J124="yes"),"higher","lower"))</x:f>
      </x:c>
      <x:c r="L124" s="32" t="str">
        <x:f>IF(A124="","",IF(K124="higher","AB",IF(D124="","NEEDS_ORDER",IF(MOD(D124,5)=0,"AB",IF(MOD(D124,2)=0,"A","B")))))</x:f>
      </x:c>
      <x:c r="M124" s="32" t="str">
        <x:f>IF(A124="","",IF(OR(L124="A",L124="AB"),"yes","no"))</x:f>
      </x:c>
      <x:c r="N124" s="32" t="str">
        <x:f>IF(A124="","",IF(OR(L124="B",L124="AB"),"yes","no"))</x:f>
      </x:c>
      <x:c r="O124" s="32" t="str">
        <x:f>IF(A124="","",IF(OR(C124="",D124="",E124="",F124="",G124="",H124="",I124="",J124=""),"INCOMPLETE","READY"))</x:f>
      </x:c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32" t="str">
        <x:f>IF(A125="","",IF(OR(E125="L1",F125="medium",F125="high",G125="yes",H125="yes",I125="yes",J125="yes"),"higher","lower"))</x:f>
      </x:c>
      <x:c r="L125" s="32" t="str">
        <x:f>IF(A125="","",IF(K125="higher","AB",IF(D125="","NEEDS_ORDER",IF(MOD(D125,5)=0,"AB",IF(MOD(D125,2)=0,"A","B")))))</x:f>
      </x:c>
      <x:c r="M125" s="32" t="str">
        <x:f>IF(A125="","",IF(OR(L125="A",L125="AB"),"yes","no"))</x:f>
      </x:c>
      <x:c r="N125" s="32" t="str">
        <x:f>IF(A125="","",IF(OR(L125="B",L125="AB"),"yes","no"))</x:f>
      </x:c>
      <x:c r="O125" s="32" t="str">
        <x:f>IF(A125="","",IF(OR(C125="",D125="",E125="",F125="",G125="",H125="",I125="",J125=""),"INCOMPLETE","READY"))</x:f>
      </x:c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32" t="str">
        <x:f>IF(A126="","",IF(OR(E126="L1",F126="medium",F126="high",G126="yes",H126="yes",I126="yes",J126="yes"),"higher","lower"))</x:f>
      </x:c>
      <x:c r="L126" s="32" t="str">
        <x:f>IF(A126="","",IF(K126="higher","AB",IF(D126="","NEEDS_ORDER",IF(MOD(D126,5)=0,"AB",IF(MOD(D126,2)=0,"A","B")))))</x:f>
      </x:c>
      <x:c r="M126" s="32" t="str">
        <x:f>IF(A126="","",IF(OR(L126="A",L126="AB"),"yes","no"))</x:f>
      </x:c>
      <x:c r="N126" s="32" t="str">
        <x:f>IF(A126="","",IF(OR(L126="B",L126="AB"),"yes","no"))</x:f>
      </x:c>
      <x:c r="O126" s="32" t="str">
        <x:f>IF(A126="","",IF(OR(C126="",D126="",E126="",F126="",G126="",H126="",I126="",J126=""),"INCOMPLETE","READY"))</x:f>
      </x:c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32" t="str">
        <x:f>IF(A127="","",IF(OR(E127="L1",F127="medium",F127="high",G127="yes",H127="yes",I127="yes",J127="yes"),"higher","lower"))</x:f>
      </x:c>
      <x:c r="L127" s="32" t="str">
        <x:f>IF(A127="","",IF(K127="higher","AB",IF(D127="","NEEDS_ORDER",IF(MOD(D127,5)=0,"AB",IF(MOD(D127,2)=0,"A","B")))))</x:f>
      </x:c>
      <x:c r="M127" s="32" t="str">
        <x:f>IF(A127="","",IF(OR(L127="A",L127="AB"),"yes","no"))</x:f>
      </x:c>
      <x:c r="N127" s="32" t="str">
        <x:f>IF(A127="","",IF(OR(L127="B",L127="AB"),"yes","no"))</x:f>
      </x:c>
      <x:c r="O127" s="32" t="str">
        <x:f>IF(A127="","",IF(OR(C127="",D127="",E127="",F127="",G127="",H127="",I127="",J127=""),"INCOMPLETE","READY"))</x:f>
      </x:c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32" t="str">
        <x:f>IF(A128="","",IF(OR(E128="L1",F128="medium",F128="high",G128="yes",H128="yes",I128="yes",J128="yes"),"higher","lower"))</x:f>
      </x:c>
      <x:c r="L128" s="32" t="str">
        <x:f>IF(A128="","",IF(K128="higher","AB",IF(D128="","NEEDS_ORDER",IF(MOD(D128,5)=0,"AB",IF(MOD(D128,2)=0,"A","B")))))</x:f>
      </x:c>
      <x:c r="M128" s="32" t="str">
        <x:f>IF(A128="","",IF(OR(L128="A",L128="AB"),"yes","no"))</x:f>
      </x:c>
      <x:c r="N128" s="32" t="str">
        <x:f>IF(A128="","",IF(OR(L128="B",L128="AB"),"yes","no"))</x:f>
      </x:c>
      <x:c r="O128" s="32" t="str">
        <x:f>IF(A128="","",IF(OR(C128="",D128="",E128="",F128="",G128="",H128="",I128="",J128=""),"INCOMPLETE","READY"))</x:f>
      </x:c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32" t="str">
        <x:f>IF(A129="","",IF(OR(E129="L1",F129="medium",F129="high",G129="yes",H129="yes",I129="yes",J129="yes"),"higher","lower"))</x:f>
      </x:c>
      <x:c r="L129" s="32" t="str">
        <x:f>IF(A129="","",IF(K129="higher","AB",IF(D129="","NEEDS_ORDER",IF(MOD(D129,5)=0,"AB",IF(MOD(D129,2)=0,"A","B")))))</x:f>
      </x:c>
      <x:c r="M129" s="32" t="str">
        <x:f>IF(A129="","",IF(OR(L129="A",L129="AB"),"yes","no"))</x:f>
      </x:c>
      <x:c r="N129" s="32" t="str">
        <x:f>IF(A129="","",IF(OR(L129="B",L129="AB"),"yes","no"))</x:f>
      </x:c>
      <x:c r="O129" s="32" t="str">
        <x:f>IF(A129="","",IF(OR(C129="",D129="",E129="",F129="",G129="",H129="",I129="",J129=""),"INCOMPLETE","READY"))</x:f>
      </x:c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32" t="str">
        <x:f>IF(A130="","",IF(OR(E130="L1",F130="medium",F130="high",G130="yes",H130="yes",I130="yes",J130="yes"),"higher","lower"))</x:f>
      </x:c>
      <x:c r="L130" s="32" t="str">
        <x:f>IF(A130="","",IF(K130="higher","AB",IF(D130="","NEEDS_ORDER",IF(MOD(D130,5)=0,"AB",IF(MOD(D130,2)=0,"A","B")))))</x:f>
      </x:c>
      <x:c r="M130" s="32" t="str">
        <x:f>IF(A130="","",IF(OR(L130="A",L130="AB"),"yes","no"))</x:f>
      </x:c>
      <x:c r="N130" s="32" t="str">
        <x:f>IF(A130="","",IF(OR(L130="B",L130="AB"),"yes","no"))</x:f>
      </x:c>
      <x:c r="O130" s="32" t="str">
        <x:f>IF(A130="","",IF(OR(C130="",D130="",E130="",F130="",G130="",H130="",I130="",J130=""),"INCOMPLETE","READY"))</x:f>
      </x:c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32" t="str">
        <x:f>IF(A131="","",IF(OR(E131="L1",F131="medium",F131="high",G131="yes",H131="yes",I131="yes",J131="yes"),"higher","lower"))</x:f>
      </x:c>
      <x:c r="L131" s="32" t="str">
        <x:f>IF(A131="","",IF(K131="higher","AB",IF(D131="","NEEDS_ORDER",IF(MOD(D131,5)=0,"AB",IF(MOD(D131,2)=0,"A","B")))))</x:f>
      </x:c>
      <x:c r="M131" s="32" t="str">
        <x:f>IF(A131="","",IF(OR(L131="A",L131="AB"),"yes","no"))</x:f>
      </x:c>
      <x:c r="N131" s="32" t="str">
        <x:f>IF(A131="","",IF(OR(L131="B",L131="AB"),"yes","no"))</x:f>
      </x:c>
      <x:c r="O131" s="32" t="str">
        <x:f>IF(A131="","",IF(OR(C131="",D131="",E131="",F131="",G131="",H131="",I131="",J131=""),"INCOMPLETE","READY"))</x:f>
      </x:c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32" t="str">
        <x:f>IF(A132="","",IF(OR(E132="L1",F132="medium",F132="high",G132="yes",H132="yes",I132="yes",J132="yes"),"higher","lower"))</x:f>
      </x:c>
      <x:c r="L132" s="32" t="str">
        <x:f>IF(A132="","",IF(K132="higher","AB",IF(D132="","NEEDS_ORDER",IF(MOD(D132,5)=0,"AB",IF(MOD(D132,2)=0,"A","B")))))</x:f>
      </x:c>
      <x:c r="M132" s="32" t="str">
        <x:f>IF(A132="","",IF(OR(L132="A",L132="AB"),"yes","no"))</x:f>
      </x:c>
      <x:c r="N132" s="32" t="str">
        <x:f>IF(A132="","",IF(OR(L132="B",L132="AB"),"yes","no"))</x:f>
      </x:c>
      <x:c r="O132" s="32" t="str">
        <x:f>IF(A132="","",IF(OR(C132="",D132="",E132="",F132="",G132="",H132="",I132="",J132=""),"INCOMPLETE","READY"))</x:f>
      </x:c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32" t="str">
        <x:f>IF(A133="","",IF(OR(E133="L1",F133="medium",F133="high",G133="yes",H133="yes",I133="yes",J133="yes"),"higher","lower"))</x:f>
      </x:c>
      <x:c r="L133" s="32" t="str">
        <x:f>IF(A133="","",IF(K133="higher","AB",IF(D133="","NEEDS_ORDER",IF(MOD(D133,5)=0,"AB",IF(MOD(D133,2)=0,"A","B")))))</x:f>
      </x:c>
      <x:c r="M133" s="32" t="str">
        <x:f>IF(A133="","",IF(OR(L133="A",L133="AB"),"yes","no"))</x:f>
      </x:c>
      <x:c r="N133" s="32" t="str">
        <x:f>IF(A133="","",IF(OR(L133="B",L133="AB"),"yes","no"))</x:f>
      </x:c>
      <x:c r="O133" s="32" t="str">
        <x:f>IF(A133="","",IF(OR(C133="",D133="",E133="",F133="",G133="",H133="",I133="",J133=""),"INCOMPLETE","READY"))</x:f>
      </x:c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32" t="str">
        <x:f>IF(A134="","",IF(OR(E134="L1",F134="medium",F134="high",G134="yes",H134="yes",I134="yes",J134="yes"),"higher","lower"))</x:f>
      </x:c>
      <x:c r="L134" s="32" t="str">
        <x:f>IF(A134="","",IF(K134="higher","AB",IF(D134="","NEEDS_ORDER",IF(MOD(D134,5)=0,"AB",IF(MOD(D134,2)=0,"A","B")))))</x:f>
      </x:c>
      <x:c r="M134" s="32" t="str">
        <x:f>IF(A134="","",IF(OR(L134="A",L134="AB"),"yes","no"))</x:f>
      </x:c>
      <x:c r="N134" s="32" t="str">
        <x:f>IF(A134="","",IF(OR(L134="B",L134="AB"),"yes","no"))</x:f>
      </x:c>
      <x:c r="O134" s="32" t="str">
        <x:f>IF(A134="","",IF(OR(C134="",D134="",E134="",F134="",G134="",H134="",I134="",J134=""),"INCOMPLETE","READY"))</x:f>
      </x:c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32" t="str">
        <x:f>IF(A135="","",IF(OR(E135="L1",F135="medium",F135="high",G135="yes",H135="yes",I135="yes",J135="yes"),"higher","lower"))</x:f>
      </x:c>
      <x:c r="L135" s="32" t="str">
        <x:f>IF(A135="","",IF(K135="higher","AB",IF(D135="","NEEDS_ORDER",IF(MOD(D135,5)=0,"AB",IF(MOD(D135,2)=0,"A","B")))))</x:f>
      </x:c>
      <x:c r="M135" s="32" t="str">
        <x:f>IF(A135="","",IF(OR(L135="A",L135="AB"),"yes","no"))</x:f>
      </x:c>
      <x:c r="N135" s="32" t="str">
        <x:f>IF(A135="","",IF(OR(L135="B",L135="AB"),"yes","no"))</x:f>
      </x:c>
      <x:c r="O135" s="32" t="str">
        <x:f>IF(A135="","",IF(OR(C135="",D135="",E135="",F135="",G135="",H135="",I135="",J135=""),"INCOMPLETE","READY"))</x:f>
      </x:c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32" t="str">
        <x:f>IF(A136="","",IF(OR(E136="L1",F136="medium",F136="high",G136="yes",H136="yes",I136="yes",J136="yes"),"higher","lower"))</x:f>
      </x:c>
      <x:c r="L136" s="32" t="str">
        <x:f>IF(A136="","",IF(K136="higher","AB",IF(D136="","NEEDS_ORDER",IF(MOD(D136,5)=0,"AB",IF(MOD(D136,2)=0,"A","B")))))</x:f>
      </x:c>
      <x:c r="M136" s="32" t="str">
        <x:f>IF(A136="","",IF(OR(L136="A",L136="AB"),"yes","no"))</x:f>
      </x:c>
      <x:c r="N136" s="32" t="str">
        <x:f>IF(A136="","",IF(OR(L136="B",L136="AB"),"yes","no"))</x:f>
      </x:c>
      <x:c r="O136" s="32" t="str">
        <x:f>IF(A136="","",IF(OR(C136="",D136="",E136="",F136="",G136="",H136="",I136="",J136=""),"INCOMPLETE","READY"))</x:f>
      </x:c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32" t="str">
        <x:f>IF(A137="","",IF(OR(E137="L1",F137="medium",F137="high",G137="yes",H137="yes",I137="yes",J137="yes"),"higher","lower"))</x:f>
      </x:c>
      <x:c r="L137" s="32" t="str">
        <x:f>IF(A137="","",IF(K137="higher","AB",IF(D137="","NEEDS_ORDER",IF(MOD(D137,5)=0,"AB",IF(MOD(D137,2)=0,"A","B")))))</x:f>
      </x:c>
      <x:c r="M137" s="32" t="str">
        <x:f>IF(A137="","",IF(OR(L137="A",L137="AB"),"yes","no"))</x:f>
      </x:c>
      <x:c r="N137" s="32" t="str">
        <x:f>IF(A137="","",IF(OR(L137="B",L137="AB"),"yes","no"))</x:f>
      </x:c>
      <x:c r="O137" s="32" t="str">
        <x:f>IF(A137="","",IF(OR(C137="",D137="",E137="",F137="",G137="",H137="",I137="",J137=""),"INCOMPLETE","READY"))</x:f>
      </x:c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32" t="str">
        <x:f>IF(A138="","",IF(OR(E138="L1",F138="medium",F138="high",G138="yes",H138="yes",I138="yes",J138="yes"),"higher","lower"))</x:f>
      </x:c>
      <x:c r="L138" s="32" t="str">
        <x:f>IF(A138="","",IF(K138="higher","AB",IF(D138="","NEEDS_ORDER",IF(MOD(D138,5)=0,"AB",IF(MOD(D138,2)=0,"A","B")))))</x:f>
      </x:c>
      <x:c r="M138" s="32" t="str">
        <x:f>IF(A138="","",IF(OR(L138="A",L138="AB"),"yes","no"))</x:f>
      </x:c>
      <x:c r="N138" s="32" t="str">
        <x:f>IF(A138="","",IF(OR(L138="B",L138="AB"),"yes","no"))</x:f>
      </x:c>
      <x:c r="O138" s="32" t="str">
        <x:f>IF(A138="","",IF(OR(C138="",D138="",E138="",F138="",G138="",H138="",I138="",J138=""),"INCOMPLETE","READY"))</x:f>
      </x:c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32" t="str">
        <x:f>IF(A139="","",IF(OR(E139="L1",F139="medium",F139="high",G139="yes",H139="yes",I139="yes",J139="yes"),"higher","lower"))</x:f>
      </x:c>
      <x:c r="L139" s="32" t="str">
        <x:f>IF(A139="","",IF(K139="higher","AB",IF(D139="","NEEDS_ORDER",IF(MOD(D139,5)=0,"AB",IF(MOD(D139,2)=0,"A","B")))))</x:f>
      </x:c>
      <x:c r="M139" s="32" t="str">
        <x:f>IF(A139="","",IF(OR(L139="A",L139="AB"),"yes","no"))</x:f>
      </x:c>
      <x:c r="N139" s="32" t="str">
        <x:f>IF(A139="","",IF(OR(L139="B",L139="AB"),"yes","no"))</x:f>
      </x:c>
      <x:c r="O139" s="32" t="str">
        <x:f>IF(A139="","",IF(OR(C139="",D139="",E139="",F139="",G139="",H139="",I139="",J139=""),"INCOMPLETE","READY"))</x:f>
      </x:c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32" t="str">
        <x:f>IF(A140="","",IF(OR(E140="L1",F140="medium",F140="high",G140="yes",H140="yes",I140="yes",J140="yes"),"higher","lower"))</x:f>
      </x:c>
      <x:c r="L140" s="32" t="str">
        <x:f>IF(A140="","",IF(K140="higher","AB",IF(D140="","NEEDS_ORDER",IF(MOD(D140,5)=0,"AB",IF(MOD(D140,2)=0,"A","B")))))</x:f>
      </x:c>
      <x:c r="M140" s="32" t="str">
        <x:f>IF(A140="","",IF(OR(L140="A",L140="AB"),"yes","no"))</x:f>
      </x:c>
      <x:c r="N140" s="32" t="str">
        <x:f>IF(A140="","",IF(OR(L140="B",L140="AB"),"yes","no"))</x:f>
      </x:c>
      <x:c r="O140" s="32" t="str">
        <x:f>IF(A140="","",IF(OR(C140="",D140="",E140="",F140="",G140="",H140="",I140="",J140=""),"INCOMPLETE","READY"))</x:f>
      </x:c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32" t="str">
        <x:f>IF(A141="","",IF(OR(E141="L1",F141="medium",F141="high",G141="yes",H141="yes",I141="yes",J141="yes"),"higher","lower"))</x:f>
      </x:c>
      <x:c r="L141" s="32" t="str">
        <x:f>IF(A141="","",IF(K141="higher","AB",IF(D141="","NEEDS_ORDER",IF(MOD(D141,5)=0,"AB",IF(MOD(D141,2)=0,"A","B")))))</x:f>
      </x:c>
      <x:c r="M141" s="32" t="str">
        <x:f>IF(A141="","",IF(OR(L141="A",L141="AB"),"yes","no"))</x:f>
      </x:c>
      <x:c r="N141" s="32" t="str">
        <x:f>IF(A141="","",IF(OR(L141="B",L141="AB"),"yes","no"))</x:f>
      </x:c>
      <x:c r="O141" s="32" t="str">
        <x:f>IF(A141="","",IF(OR(C141="",D141="",E141="",F141="",G141="",H141="",I141="",J141=""),"INCOMPLETE","READY"))</x:f>
      </x:c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32" t="str">
        <x:f>IF(A142="","",IF(OR(E142="L1",F142="medium",F142="high",G142="yes",H142="yes",I142="yes",J142="yes"),"higher","lower"))</x:f>
      </x:c>
      <x:c r="L142" s="32" t="str">
        <x:f>IF(A142="","",IF(K142="higher","AB",IF(D142="","NEEDS_ORDER",IF(MOD(D142,5)=0,"AB",IF(MOD(D142,2)=0,"A","B")))))</x:f>
      </x:c>
      <x:c r="M142" s="32" t="str">
        <x:f>IF(A142="","",IF(OR(L142="A",L142="AB"),"yes","no"))</x:f>
      </x:c>
      <x:c r="N142" s="32" t="str">
        <x:f>IF(A142="","",IF(OR(L142="B",L142="AB"),"yes","no"))</x:f>
      </x:c>
      <x:c r="O142" s="32" t="str">
        <x:f>IF(A142="","",IF(OR(C142="",D142="",E142="",F142="",G142="",H142="",I142="",J142=""),"INCOMPLETE","READY"))</x:f>
      </x:c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32" t="str">
        <x:f>IF(A143="","",IF(OR(E143="L1",F143="medium",F143="high",G143="yes",H143="yes",I143="yes",J143="yes"),"higher","lower"))</x:f>
      </x:c>
      <x:c r="L143" s="32" t="str">
        <x:f>IF(A143="","",IF(K143="higher","AB",IF(D143="","NEEDS_ORDER",IF(MOD(D143,5)=0,"AB",IF(MOD(D143,2)=0,"A","B")))))</x:f>
      </x:c>
      <x:c r="M143" s="32" t="str">
        <x:f>IF(A143="","",IF(OR(L143="A",L143="AB"),"yes","no"))</x:f>
      </x:c>
      <x:c r="N143" s="32" t="str">
        <x:f>IF(A143="","",IF(OR(L143="B",L143="AB"),"yes","no"))</x:f>
      </x:c>
      <x:c r="O143" s="32" t="str">
        <x:f>IF(A143="","",IF(OR(C143="",D143="",E143="",F143="",G143="",H143="",I143="",J143=""),"INCOMPLETE","READY"))</x:f>
      </x:c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32" t="str">
        <x:f>IF(A144="","",IF(OR(E144="L1",F144="medium",F144="high",G144="yes",H144="yes",I144="yes",J144="yes"),"higher","lower"))</x:f>
      </x:c>
      <x:c r="L144" s="32" t="str">
        <x:f>IF(A144="","",IF(K144="higher","AB",IF(D144="","NEEDS_ORDER",IF(MOD(D144,5)=0,"AB",IF(MOD(D144,2)=0,"A","B")))))</x:f>
      </x:c>
      <x:c r="M144" s="32" t="str">
        <x:f>IF(A144="","",IF(OR(L144="A",L144="AB"),"yes","no"))</x:f>
      </x:c>
      <x:c r="N144" s="32" t="str">
        <x:f>IF(A144="","",IF(OR(L144="B",L144="AB"),"yes","no"))</x:f>
      </x:c>
      <x:c r="O144" s="32" t="str">
        <x:f>IF(A144="","",IF(OR(C144="",D144="",E144="",F144="",G144="",H144="",I144="",J144=""),"INCOMPLETE","READY"))</x:f>
      </x:c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32" t="str">
        <x:f>IF(A145="","",IF(OR(E145="L1",F145="medium",F145="high",G145="yes",H145="yes",I145="yes",J145="yes"),"higher","lower"))</x:f>
      </x:c>
      <x:c r="L145" s="32" t="str">
        <x:f>IF(A145="","",IF(K145="higher","AB",IF(D145="","NEEDS_ORDER",IF(MOD(D145,5)=0,"AB",IF(MOD(D145,2)=0,"A","B")))))</x:f>
      </x:c>
      <x:c r="M145" s="32" t="str">
        <x:f>IF(A145="","",IF(OR(L145="A",L145="AB"),"yes","no"))</x:f>
      </x:c>
      <x:c r="N145" s="32" t="str">
        <x:f>IF(A145="","",IF(OR(L145="B",L145="AB"),"yes","no"))</x:f>
      </x:c>
      <x:c r="O145" s="32" t="str">
        <x:f>IF(A145="","",IF(OR(C145="",D145="",E145="",F145="",G145="",H145="",I145="",J145=""),"INCOMPLETE","READY"))</x:f>
      </x:c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32" t="str">
        <x:f>IF(A146="","",IF(OR(E146="L1",F146="medium",F146="high",G146="yes",H146="yes",I146="yes",J146="yes"),"higher","lower"))</x:f>
      </x:c>
      <x:c r="L146" s="32" t="str">
        <x:f>IF(A146="","",IF(K146="higher","AB",IF(D146="","NEEDS_ORDER",IF(MOD(D146,5)=0,"AB",IF(MOD(D146,2)=0,"A","B")))))</x:f>
      </x:c>
      <x:c r="M146" s="32" t="str">
        <x:f>IF(A146="","",IF(OR(L146="A",L146="AB"),"yes","no"))</x:f>
      </x:c>
      <x:c r="N146" s="32" t="str">
        <x:f>IF(A146="","",IF(OR(L146="B",L146="AB"),"yes","no"))</x:f>
      </x:c>
      <x:c r="O146" s="32" t="str">
        <x:f>IF(A146="","",IF(OR(C146="",D146="",E146="",F146="",G146="",H146="",I146="",J146=""),"INCOMPLETE","READY"))</x:f>
      </x:c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32" t="str">
        <x:f>IF(A147="","",IF(OR(E147="L1",F147="medium",F147="high",G147="yes",H147="yes",I147="yes",J147="yes"),"higher","lower"))</x:f>
      </x:c>
      <x:c r="L147" s="32" t="str">
        <x:f>IF(A147="","",IF(K147="higher","AB",IF(D147="","NEEDS_ORDER",IF(MOD(D147,5)=0,"AB",IF(MOD(D147,2)=0,"A","B")))))</x:f>
      </x:c>
      <x:c r="M147" s="32" t="str">
        <x:f>IF(A147="","",IF(OR(L147="A",L147="AB"),"yes","no"))</x:f>
      </x:c>
      <x:c r="N147" s="32" t="str">
        <x:f>IF(A147="","",IF(OR(L147="B",L147="AB"),"yes","no"))</x:f>
      </x:c>
      <x:c r="O147" s="32" t="str">
        <x:f>IF(A147="","",IF(OR(C147="",D147="",E147="",F147="",G147="",H147="",I147="",J147=""),"INCOMPLETE","READY"))</x:f>
      </x:c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32" t="str">
        <x:f>IF(A148="","",IF(OR(E148="L1",F148="medium",F148="high",G148="yes",H148="yes",I148="yes",J148="yes"),"higher","lower"))</x:f>
      </x:c>
      <x:c r="L148" s="32" t="str">
        <x:f>IF(A148="","",IF(K148="higher","AB",IF(D148="","NEEDS_ORDER",IF(MOD(D148,5)=0,"AB",IF(MOD(D148,2)=0,"A","B")))))</x:f>
      </x:c>
      <x:c r="M148" s="32" t="str">
        <x:f>IF(A148="","",IF(OR(L148="A",L148="AB"),"yes","no"))</x:f>
      </x:c>
      <x:c r="N148" s="32" t="str">
        <x:f>IF(A148="","",IF(OR(L148="B",L148="AB"),"yes","no"))</x:f>
      </x:c>
      <x:c r="O148" s="32" t="str">
        <x:f>IF(A148="","",IF(OR(C148="",D148="",E148="",F148="",G148="",H148="",I148="",J148=""),"INCOMPLETE","READY"))</x:f>
      </x:c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32" t="str">
        <x:f>IF(A149="","",IF(OR(E149="L1",F149="medium",F149="high",G149="yes",H149="yes",I149="yes",J149="yes"),"higher","lower"))</x:f>
      </x:c>
      <x:c r="L149" s="32" t="str">
        <x:f>IF(A149="","",IF(K149="higher","AB",IF(D149="","NEEDS_ORDER",IF(MOD(D149,5)=0,"AB",IF(MOD(D149,2)=0,"A","B")))))</x:f>
      </x:c>
      <x:c r="M149" s="32" t="str">
        <x:f>IF(A149="","",IF(OR(L149="A",L149="AB"),"yes","no"))</x:f>
      </x:c>
      <x:c r="N149" s="32" t="str">
        <x:f>IF(A149="","",IF(OR(L149="B",L149="AB"),"yes","no"))</x:f>
      </x:c>
      <x:c r="O149" s="32" t="str">
        <x:f>IF(A149="","",IF(OR(C149="",D149="",E149="",F149="",G149="",H149="",I149="",J149=""),"INCOMPLETE","READY"))</x:f>
      </x:c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32" t="str">
        <x:f>IF(A150="","",IF(OR(E150="L1",F150="medium",F150="high",G150="yes",H150="yes",I150="yes",J150="yes"),"higher","lower"))</x:f>
      </x:c>
      <x:c r="L150" s="32" t="str">
        <x:f>IF(A150="","",IF(K150="higher","AB",IF(D150="","NEEDS_ORDER",IF(MOD(D150,5)=0,"AB",IF(MOD(D150,2)=0,"A","B")))))</x:f>
      </x:c>
      <x:c r="M150" s="32" t="str">
        <x:f>IF(A150="","",IF(OR(L150="A",L150="AB"),"yes","no"))</x:f>
      </x:c>
      <x:c r="N150" s="32" t="str">
        <x:f>IF(A150="","",IF(OR(L150="B",L150="AB"),"yes","no"))</x:f>
      </x:c>
      <x:c r="O150" s="32" t="str">
        <x:f>IF(A150="","",IF(OR(C150="",D150="",E150="",F150="",G150="",H150="",I150="",J150=""),"INCOMPLETE","READY"))</x:f>
      </x:c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32" t="str">
        <x:f>IF(A151="","",IF(OR(E151="L1",F151="medium",F151="high",G151="yes",H151="yes",I151="yes",J151="yes"),"higher","lower"))</x:f>
      </x:c>
      <x:c r="L151" s="32" t="str">
        <x:f>IF(A151="","",IF(K151="higher","AB",IF(D151="","NEEDS_ORDER",IF(MOD(D151,5)=0,"AB",IF(MOD(D151,2)=0,"A","B")))))</x:f>
      </x:c>
      <x:c r="M151" s="32" t="str">
        <x:f>IF(A151="","",IF(OR(L151="A",L151="AB"),"yes","no"))</x:f>
      </x:c>
      <x:c r="N151" s="32" t="str">
        <x:f>IF(A151="","",IF(OR(L151="B",L151="AB"),"yes","no"))</x:f>
      </x:c>
      <x:c r="O151" s="32" t="str">
        <x:f>IF(A151="","",IF(OR(C151="",D151="",E151="",F151="",G151="",H151="",I151="",J151=""),"INCOMPLETE","READY"))</x:f>
      </x:c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32" t="str">
        <x:f>IF(A152="","",IF(OR(E152="L1",F152="medium",F152="high",G152="yes",H152="yes",I152="yes",J152="yes"),"higher","lower"))</x:f>
      </x:c>
      <x:c r="L152" s="32" t="str">
        <x:f>IF(A152="","",IF(K152="higher","AB",IF(D152="","NEEDS_ORDER",IF(MOD(D152,5)=0,"AB",IF(MOD(D152,2)=0,"A","B")))))</x:f>
      </x:c>
      <x:c r="M152" s="32" t="str">
        <x:f>IF(A152="","",IF(OR(L152="A",L152="AB"),"yes","no"))</x:f>
      </x:c>
      <x:c r="N152" s="32" t="str">
        <x:f>IF(A152="","",IF(OR(L152="B",L152="AB"),"yes","no"))</x:f>
      </x:c>
      <x:c r="O152" s="32" t="str">
        <x:f>IF(A152="","",IF(OR(C152="",D152="",E152="",F152="",G152="",H152="",I152="",J152=""),"INCOMPLETE","READY"))</x:f>
      </x:c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32" t="str">
        <x:f>IF(A153="","",IF(OR(E153="L1",F153="medium",F153="high",G153="yes",H153="yes",I153="yes",J153="yes"),"higher","lower"))</x:f>
      </x:c>
      <x:c r="L153" s="32" t="str">
        <x:f>IF(A153="","",IF(K153="higher","AB",IF(D153="","NEEDS_ORDER",IF(MOD(D153,5)=0,"AB",IF(MOD(D153,2)=0,"A","B")))))</x:f>
      </x:c>
      <x:c r="M153" s="32" t="str">
        <x:f>IF(A153="","",IF(OR(L153="A",L153="AB"),"yes","no"))</x:f>
      </x:c>
      <x:c r="N153" s="32" t="str">
        <x:f>IF(A153="","",IF(OR(L153="B",L153="AB"),"yes","no"))</x:f>
      </x:c>
      <x:c r="O153" s="32" t="str">
        <x:f>IF(A153="","",IF(OR(C153="",D153="",E153="",F153="",G153="",H153="",I153="",J153=""),"INCOMPLETE","READY"))</x:f>
      </x:c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32" t="str">
        <x:f>IF(A154="","",IF(OR(E154="L1",F154="medium",F154="high",G154="yes",H154="yes",I154="yes",J154="yes"),"higher","lower"))</x:f>
      </x:c>
      <x:c r="L154" s="32" t="str">
        <x:f>IF(A154="","",IF(K154="higher","AB",IF(D154="","NEEDS_ORDER",IF(MOD(D154,5)=0,"AB",IF(MOD(D154,2)=0,"A","B")))))</x:f>
      </x:c>
      <x:c r="M154" s="32" t="str">
        <x:f>IF(A154="","",IF(OR(L154="A",L154="AB"),"yes","no"))</x:f>
      </x:c>
      <x:c r="N154" s="32" t="str">
        <x:f>IF(A154="","",IF(OR(L154="B",L154="AB"),"yes","no"))</x:f>
      </x:c>
      <x:c r="O154" s="32" t="str">
        <x:f>IF(A154="","",IF(OR(C154="",D154="",E154="",F154="",G154="",H154="",I154="",J154=""),"INCOMPLETE","READY"))</x:f>
      </x:c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32" t="str">
        <x:f>IF(A155="","",IF(OR(E155="L1",F155="medium",F155="high",G155="yes",H155="yes",I155="yes",J155="yes"),"higher","lower"))</x:f>
      </x:c>
      <x:c r="L155" s="32" t="str">
        <x:f>IF(A155="","",IF(K155="higher","AB",IF(D155="","NEEDS_ORDER",IF(MOD(D155,5)=0,"AB",IF(MOD(D155,2)=0,"A","B")))))</x:f>
      </x:c>
      <x:c r="M155" s="32" t="str">
        <x:f>IF(A155="","",IF(OR(L155="A",L155="AB"),"yes","no"))</x:f>
      </x:c>
      <x:c r="N155" s="32" t="str">
        <x:f>IF(A155="","",IF(OR(L155="B",L155="AB"),"yes","no"))</x:f>
      </x:c>
      <x:c r="O155" s="32" t="str">
        <x:f>IF(A155="","",IF(OR(C155="",D155="",E155="",F155="",G155="",H155="",I155="",J155=""),"INCOMPLETE","READY"))</x:f>
      </x:c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32" t="str">
        <x:f>IF(A156="","",IF(OR(E156="L1",F156="medium",F156="high",G156="yes",H156="yes",I156="yes",J156="yes"),"higher","lower"))</x:f>
      </x:c>
      <x:c r="L156" s="32" t="str">
        <x:f>IF(A156="","",IF(K156="higher","AB",IF(D156="","NEEDS_ORDER",IF(MOD(D156,5)=0,"AB",IF(MOD(D156,2)=0,"A","B")))))</x:f>
      </x:c>
      <x:c r="M156" s="32" t="str">
        <x:f>IF(A156="","",IF(OR(L156="A",L156="AB"),"yes","no"))</x:f>
      </x:c>
      <x:c r="N156" s="32" t="str">
        <x:f>IF(A156="","",IF(OR(L156="B",L156="AB"),"yes","no"))</x:f>
      </x:c>
      <x:c r="O156" s="32" t="str">
        <x:f>IF(A156="","",IF(OR(C156="",D156="",E156="",F156="",G156="",H156="",I156="",J156=""),"INCOMPLETE","READY"))</x:f>
      </x:c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32" t="str">
        <x:f>IF(A157="","",IF(OR(E157="L1",F157="medium",F157="high",G157="yes",H157="yes",I157="yes",J157="yes"),"higher","lower"))</x:f>
      </x:c>
      <x:c r="L157" s="32" t="str">
        <x:f>IF(A157="","",IF(K157="higher","AB",IF(D157="","NEEDS_ORDER",IF(MOD(D157,5)=0,"AB",IF(MOD(D157,2)=0,"A","B")))))</x:f>
      </x:c>
      <x:c r="M157" s="32" t="str">
        <x:f>IF(A157="","",IF(OR(L157="A",L157="AB"),"yes","no"))</x:f>
      </x:c>
      <x:c r="N157" s="32" t="str">
        <x:f>IF(A157="","",IF(OR(L157="B",L157="AB"),"yes","no"))</x:f>
      </x:c>
      <x:c r="O157" s="32" t="str">
        <x:f>IF(A157="","",IF(OR(C157="",D157="",E157="",F157="",G157="",H157="",I157="",J157=""),"INCOMPLETE","READY"))</x:f>
      </x:c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32" t="str">
        <x:f>IF(A158="","",IF(OR(E158="L1",F158="medium",F158="high",G158="yes",H158="yes",I158="yes",J158="yes"),"higher","lower"))</x:f>
      </x:c>
      <x:c r="L158" s="32" t="str">
        <x:f>IF(A158="","",IF(K158="higher","AB",IF(D158="","NEEDS_ORDER",IF(MOD(D158,5)=0,"AB",IF(MOD(D158,2)=0,"A","B")))))</x:f>
      </x:c>
      <x:c r="M158" s="32" t="str">
        <x:f>IF(A158="","",IF(OR(L158="A",L158="AB"),"yes","no"))</x:f>
      </x:c>
      <x:c r="N158" s="32" t="str">
        <x:f>IF(A158="","",IF(OR(L158="B",L158="AB"),"yes","no"))</x:f>
      </x:c>
      <x:c r="O158" s="32" t="str">
        <x:f>IF(A158="","",IF(OR(C158="",D158="",E158="",F158="",G158="",H158="",I158="",J158=""),"INCOMPLETE","READY"))</x:f>
      </x:c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32" t="str">
        <x:f>IF(A159="","",IF(OR(E159="L1",F159="medium",F159="high",G159="yes",H159="yes",I159="yes",J159="yes"),"higher","lower"))</x:f>
      </x:c>
      <x:c r="L159" s="32" t="str">
        <x:f>IF(A159="","",IF(K159="higher","AB",IF(D159="","NEEDS_ORDER",IF(MOD(D159,5)=0,"AB",IF(MOD(D159,2)=0,"A","B")))))</x:f>
      </x:c>
      <x:c r="M159" s="32" t="str">
        <x:f>IF(A159="","",IF(OR(L159="A",L159="AB"),"yes","no"))</x:f>
      </x:c>
      <x:c r="N159" s="32" t="str">
        <x:f>IF(A159="","",IF(OR(L159="B",L159="AB"),"yes","no"))</x:f>
      </x:c>
      <x:c r="O159" s="32" t="str">
        <x:f>IF(A159="","",IF(OR(C159="",D159="",E159="",F159="",G159="",H159="",I159="",J159=""),"INCOMPLETE","READY"))</x:f>
      </x:c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32" t="str">
        <x:f>IF(A160="","",IF(OR(E160="L1",F160="medium",F160="high",G160="yes",H160="yes",I160="yes",J160="yes"),"higher","lower"))</x:f>
      </x:c>
      <x:c r="L160" s="32" t="str">
        <x:f>IF(A160="","",IF(K160="higher","AB",IF(D160="","NEEDS_ORDER",IF(MOD(D160,5)=0,"AB",IF(MOD(D160,2)=0,"A","B")))))</x:f>
      </x:c>
      <x:c r="M160" s="32" t="str">
        <x:f>IF(A160="","",IF(OR(L160="A",L160="AB"),"yes","no"))</x:f>
      </x:c>
      <x:c r="N160" s="32" t="str">
        <x:f>IF(A160="","",IF(OR(L160="B",L160="AB"),"yes","no"))</x:f>
      </x:c>
      <x:c r="O160" s="32" t="str">
        <x:f>IF(A160="","",IF(OR(C160="",D160="",E160="",F160="",G160="",H160="",I160="",J160=""),"INCOMPLETE","READY"))</x:f>
      </x:c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32" t="str">
        <x:f>IF(A161="","",IF(OR(E161="L1",F161="medium",F161="high",G161="yes",H161="yes",I161="yes",J161="yes"),"higher","lower"))</x:f>
      </x:c>
      <x:c r="L161" s="32" t="str">
        <x:f>IF(A161="","",IF(K161="higher","AB",IF(D161="","NEEDS_ORDER",IF(MOD(D161,5)=0,"AB",IF(MOD(D161,2)=0,"A","B")))))</x:f>
      </x:c>
      <x:c r="M161" s="32" t="str">
        <x:f>IF(A161="","",IF(OR(L161="A",L161="AB"),"yes","no"))</x:f>
      </x:c>
      <x:c r="N161" s="32" t="str">
        <x:f>IF(A161="","",IF(OR(L161="B",L161="AB"),"yes","no"))</x:f>
      </x:c>
      <x:c r="O161" s="32" t="str">
        <x:f>IF(A161="","",IF(OR(C161="",D161="",E161="",F161="",G161="",H161="",I161="",J161=""),"INCOMPLETE","READY"))</x:f>
      </x:c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32" t="str">
        <x:f>IF(A162="","",IF(OR(E162="L1",F162="medium",F162="high",G162="yes",H162="yes",I162="yes",J162="yes"),"higher","lower"))</x:f>
      </x:c>
      <x:c r="L162" s="32" t="str">
        <x:f>IF(A162="","",IF(K162="higher","AB",IF(D162="","NEEDS_ORDER",IF(MOD(D162,5)=0,"AB",IF(MOD(D162,2)=0,"A","B")))))</x:f>
      </x:c>
      <x:c r="M162" s="32" t="str">
        <x:f>IF(A162="","",IF(OR(L162="A",L162="AB"),"yes","no"))</x:f>
      </x:c>
      <x:c r="N162" s="32" t="str">
        <x:f>IF(A162="","",IF(OR(L162="B",L162="AB"),"yes","no"))</x:f>
      </x:c>
      <x:c r="O162" s="32" t="str">
        <x:f>IF(A162="","",IF(OR(C162="",D162="",E162="",F162="",G162="",H162="",I162="",J162=""),"INCOMPLETE","READY"))</x:f>
      </x:c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32" t="str">
        <x:f>IF(A163="","",IF(OR(E163="L1",F163="medium",F163="high",G163="yes",H163="yes",I163="yes",J163="yes"),"higher","lower"))</x:f>
      </x:c>
      <x:c r="L163" s="32" t="str">
        <x:f>IF(A163="","",IF(K163="higher","AB",IF(D163="","NEEDS_ORDER",IF(MOD(D163,5)=0,"AB",IF(MOD(D163,2)=0,"A","B")))))</x:f>
      </x:c>
      <x:c r="M163" s="32" t="str">
        <x:f>IF(A163="","",IF(OR(L163="A",L163="AB"),"yes","no"))</x:f>
      </x:c>
      <x:c r="N163" s="32" t="str">
        <x:f>IF(A163="","",IF(OR(L163="B",L163="AB"),"yes","no"))</x:f>
      </x:c>
      <x:c r="O163" s="32" t="str">
        <x:f>IF(A163="","",IF(OR(C163="",D163="",E163="",F163="",G163="",H163="",I163="",J163=""),"INCOMPLETE","READY"))</x:f>
      </x:c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32" t="str">
        <x:f>IF(A164="","",IF(OR(E164="L1",F164="medium",F164="high",G164="yes",H164="yes",I164="yes",J164="yes"),"higher","lower"))</x:f>
      </x:c>
      <x:c r="L164" s="32" t="str">
        <x:f>IF(A164="","",IF(K164="higher","AB",IF(D164="","NEEDS_ORDER",IF(MOD(D164,5)=0,"AB",IF(MOD(D164,2)=0,"A","B")))))</x:f>
      </x:c>
      <x:c r="M164" s="32" t="str">
        <x:f>IF(A164="","",IF(OR(L164="A",L164="AB"),"yes","no"))</x:f>
      </x:c>
      <x:c r="N164" s="32" t="str">
        <x:f>IF(A164="","",IF(OR(L164="B",L164="AB"),"yes","no"))</x:f>
      </x:c>
      <x:c r="O164" s="32" t="str">
        <x:f>IF(A164="","",IF(OR(C164="",D164="",E164="",F164="",G164="",H164="",I164="",J164=""),"INCOMPLETE","READY"))</x:f>
      </x:c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32" t="str">
        <x:f>IF(A165="","",IF(OR(E165="L1",F165="medium",F165="high",G165="yes",H165="yes",I165="yes",J165="yes"),"higher","lower"))</x:f>
      </x:c>
      <x:c r="L165" s="32" t="str">
        <x:f>IF(A165="","",IF(K165="higher","AB",IF(D165="","NEEDS_ORDER",IF(MOD(D165,5)=0,"AB",IF(MOD(D165,2)=0,"A","B")))))</x:f>
      </x:c>
      <x:c r="M165" s="32" t="str">
        <x:f>IF(A165="","",IF(OR(L165="A",L165="AB"),"yes","no"))</x:f>
      </x:c>
      <x:c r="N165" s="32" t="str">
        <x:f>IF(A165="","",IF(OR(L165="B",L165="AB"),"yes","no"))</x:f>
      </x:c>
      <x:c r="O165" s="32" t="str">
        <x:f>IF(A165="","",IF(OR(C165="",D165="",E165="",F165="",G165="",H165="",I165="",J165=""),"INCOMPLETE","READY"))</x:f>
      </x:c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32" t="str">
        <x:f>IF(A166="","",IF(OR(E166="L1",F166="medium",F166="high",G166="yes",H166="yes",I166="yes",J166="yes"),"higher","lower"))</x:f>
      </x:c>
      <x:c r="L166" s="32" t="str">
        <x:f>IF(A166="","",IF(K166="higher","AB",IF(D166="","NEEDS_ORDER",IF(MOD(D166,5)=0,"AB",IF(MOD(D166,2)=0,"A","B")))))</x:f>
      </x:c>
      <x:c r="M166" s="32" t="str">
        <x:f>IF(A166="","",IF(OR(L166="A",L166="AB"),"yes","no"))</x:f>
      </x:c>
      <x:c r="N166" s="32" t="str">
        <x:f>IF(A166="","",IF(OR(L166="B",L166="AB"),"yes","no"))</x:f>
      </x:c>
      <x:c r="O166" s="32" t="str">
        <x:f>IF(A166="","",IF(OR(C166="",D166="",E166="",F166="",G166="",H166="",I166="",J166=""),"INCOMPLETE","READY"))</x:f>
      </x:c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32" t="str">
        <x:f>IF(A167="","",IF(OR(E167="L1",F167="medium",F167="high",G167="yes",H167="yes",I167="yes",J167="yes"),"higher","lower"))</x:f>
      </x:c>
      <x:c r="L167" s="32" t="str">
        <x:f>IF(A167="","",IF(K167="higher","AB",IF(D167="","NEEDS_ORDER",IF(MOD(D167,5)=0,"AB",IF(MOD(D167,2)=0,"A","B")))))</x:f>
      </x:c>
      <x:c r="M167" s="32" t="str">
        <x:f>IF(A167="","",IF(OR(L167="A",L167="AB"),"yes","no"))</x:f>
      </x:c>
      <x:c r="N167" s="32" t="str">
        <x:f>IF(A167="","",IF(OR(L167="B",L167="AB"),"yes","no"))</x:f>
      </x:c>
      <x:c r="O167" s="32" t="str">
        <x:f>IF(A167="","",IF(OR(C167="",D167="",E167="",F167="",G167="",H167="",I167="",J167=""),"INCOMPLETE","READY"))</x:f>
      </x:c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32" t="str">
        <x:f>IF(A168="","",IF(OR(E168="L1",F168="medium",F168="high",G168="yes",H168="yes",I168="yes",J168="yes"),"higher","lower"))</x:f>
      </x:c>
      <x:c r="L168" s="32" t="str">
        <x:f>IF(A168="","",IF(K168="higher","AB",IF(D168="","NEEDS_ORDER",IF(MOD(D168,5)=0,"AB",IF(MOD(D168,2)=0,"A","B")))))</x:f>
      </x:c>
      <x:c r="M168" s="32" t="str">
        <x:f>IF(A168="","",IF(OR(L168="A",L168="AB"),"yes","no"))</x:f>
      </x:c>
      <x:c r="N168" s="32" t="str">
        <x:f>IF(A168="","",IF(OR(L168="B",L168="AB"),"yes","no"))</x:f>
      </x:c>
      <x:c r="O168" s="32" t="str">
        <x:f>IF(A168="","",IF(OR(C168="",D168="",E168="",F168="",G168="",H168="",I168="",J168=""),"INCOMPLETE","READY"))</x:f>
      </x:c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32" t="str">
        <x:f>IF(A169="","",IF(OR(E169="L1",F169="medium",F169="high",G169="yes",H169="yes",I169="yes",J169="yes"),"higher","lower"))</x:f>
      </x:c>
      <x:c r="L169" s="32" t="str">
        <x:f>IF(A169="","",IF(K169="higher","AB",IF(D169="","NEEDS_ORDER",IF(MOD(D169,5)=0,"AB",IF(MOD(D169,2)=0,"A","B")))))</x:f>
      </x:c>
      <x:c r="M169" s="32" t="str">
        <x:f>IF(A169="","",IF(OR(L169="A",L169="AB"),"yes","no"))</x:f>
      </x:c>
      <x:c r="N169" s="32" t="str">
        <x:f>IF(A169="","",IF(OR(L169="B",L169="AB"),"yes","no"))</x:f>
      </x:c>
      <x:c r="O169" s="32" t="str">
        <x:f>IF(A169="","",IF(OR(C169="",D169="",E169="",F169="",G169="",H169="",I169="",J169=""),"INCOMPLETE","READY"))</x:f>
      </x:c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32" t="str">
        <x:f>IF(A170="","",IF(OR(E170="L1",F170="medium",F170="high",G170="yes",H170="yes",I170="yes",J170="yes"),"higher","lower"))</x:f>
      </x:c>
      <x:c r="L170" s="32" t="str">
        <x:f>IF(A170="","",IF(K170="higher","AB",IF(D170="","NEEDS_ORDER",IF(MOD(D170,5)=0,"AB",IF(MOD(D170,2)=0,"A","B")))))</x:f>
      </x:c>
      <x:c r="M170" s="32" t="str">
        <x:f>IF(A170="","",IF(OR(L170="A",L170="AB"),"yes","no"))</x:f>
      </x:c>
      <x:c r="N170" s="32" t="str">
        <x:f>IF(A170="","",IF(OR(L170="B",L170="AB"),"yes","no"))</x:f>
      </x:c>
      <x:c r="O170" s="32" t="str">
        <x:f>IF(A170="","",IF(OR(C170="",D170="",E170="",F170="",G170="",H170="",I170="",J170=""),"INCOMPLETE","READY"))</x:f>
      </x:c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32" t="str">
        <x:f>IF(A171="","",IF(OR(E171="L1",F171="medium",F171="high",G171="yes",H171="yes",I171="yes",J171="yes"),"higher","lower"))</x:f>
      </x:c>
      <x:c r="L171" s="32" t="str">
        <x:f>IF(A171="","",IF(K171="higher","AB",IF(D171="","NEEDS_ORDER",IF(MOD(D171,5)=0,"AB",IF(MOD(D171,2)=0,"A","B")))))</x:f>
      </x:c>
      <x:c r="M171" s="32" t="str">
        <x:f>IF(A171="","",IF(OR(L171="A",L171="AB"),"yes","no"))</x:f>
      </x:c>
      <x:c r="N171" s="32" t="str">
        <x:f>IF(A171="","",IF(OR(L171="B",L171="AB"),"yes","no"))</x:f>
      </x:c>
      <x:c r="O171" s="32" t="str">
        <x:f>IF(A171="","",IF(OR(C171="",D171="",E171="",F171="",G171="",H171="",I171="",J171=""),"INCOMPLETE","READY"))</x:f>
      </x:c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32" t="str">
        <x:f>IF(A172="","",IF(OR(E172="L1",F172="medium",F172="high",G172="yes",H172="yes",I172="yes",J172="yes"),"higher","lower"))</x:f>
      </x:c>
      <x:c r="L172" s="32" t="str">
        <x:f>IF(A172="","",IF(K172="higher","AB",IF(D172="","NEEDS_ORDER",IF(MOD(D172,5)=0,"AB",IF(MOD(D172,2)=0,"A","B")))))</x:f>
      </x:c>
      <x:c r="M172" s="32" t="str">
        <x:f>IF(A172="","",IF(OR(L172="A",L172="AB"),"yes","no"))</x:f>
      </x:c>
      <x:c r="N172" s="32" t="str">
        <x:f>IF(A172="","",IF(OR(L172="B",L172="AB"),"yes","no"))</x:f>
      </x:c>
      <x:c r="O172" s="32" t="str">
        <x:f>IF(A172="","",IF(OR(C172="",D172="",E172="",F172="",G172="",H172="",I172="",J172=""),"INCOMPLETE","READY"))</x:f>
      </x:c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32" t="str">
        <x:f>IF(A173="","",IF(OR(E173="L1",F173="medium",F173="high",G173="yes",H173="yes",I173="yes",J173="yes"),"higher","lower"))</x:f>
      </x:c>
      <x:c r="L173" s="32" t="str">
        <x:f>IF(A173="","",IF(K173="higher","AB",IF(D173="","NEEDS_ORDER",IF(MOD(D173,5)=0,"AB",IF(MOD(D173,2)=0,"A","B")))))</x:f>
      </x:c>
      <x:c r="M173" s="32" t="str">
        <x:f>IF(A173="","",IF(OR(L173="A",L173="AB"),"yes","no"))</x:f>
      </x:c>
      <x:c r="N173" s="32" t="str">
        <x:f>IF(A173="","",IF(OR(L173="B",L173="AB"),"yes","no"))</x:f>
      </x:c>
      <x:c r="O173" s="32" t="str">
        <x:f>IF(A173="","",IF(OR(C173="",D173="",E173="",F173="",G173="",H173="",I173="",J173=""),"INCOMPLETE","READY"))</x:f>
      </x:c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32" t="str">
        <x:f>IF(A174="","",IF(OR(E174="L1",F174="medium",F174="high",G174="yes",H174="yes",I174="yes",J174="yes"),"higher","lower"))</x:f>
      </x:c>
      <x:c r="L174" s="32" t="str">
        <x:f>IF(A174="","",IF(K174="higher","AB",IF(D174="","NEEDS_ORDER",IF(MOD(D174,5)=0,"AB",IF(MOD(D174,2)=0,"A","B")))))</x:f>
      </x:c>
      <x:c r="M174" s="32" t="str">
        <x:f>IF(A174="","",IF(OR(L174="A",L174="AB"),"yes","no"))</x:f>
      </x:c>
      <x:c r="N174" s="32" t="str">
        <x:f>IF(A174="","",IF(OR(L174="B",L174="AB"),"yes","no"))</x:f>
      </x:c>
      <x:c r="O174" s="32" t="str">
        <x:f>IF(A174="","",IF(OR(C174="",D174="",E174="",F174="",G174="",H174="",I174="",J174=""),"INCOMPLETE","READY"))</x:f>
      </x:c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32" t="str">
        <x:f>IF(A175="","",IF(OR(E175="L1",F175="medium",F175="high",G175="yes",H175="yes",I175="yes",J175="yes"),"higher","lower"))</x:f>
      </x:c>
      <x:c r="L175" s="32" t="str">
        <x:f>IF(A175="","",IF(K175="higher","AB",IF(D175="","NEEDS_ORDER",IF(MOD(D175,5)=0,"AB",IF(MOD(D175,2)=0,"A","B")))))</x:f>
      </x:c>
      <x:c r="M175" s="32" t="str">
        <x:f>IF(A175="","",IF(OR(L175="A",L175="AB"),"yes","no"))</x:f>
      </x:c>
      <x:c r="N175" s="32" t="str">
        <x:f>IF(A175="","",IF(OR(L175="B",L175="AB"),"yes","no"))</x:f>
      </x:c>
      <x:c r="O175" s="32" t="str">
        <x:f>IF(A175="","",IF(OR(C175="",D175="",E175="",F175="",G175="",H175="",I175="",J175=""),"INCOMPLETE","READY"))</x:f>
      </x:c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32" t="str">
        <x:f>IF(A176="","",IF(OR(E176="L1",F176="medium",F176="high",G176="yes",H176="yes",I176="yes",J176="yes"),"higher","lower"))</x:f>
      </x:c>
      <x:c r="L176" s="32" t="str">
        <x:f>IF(A176="","",IF(K176="higher","AB",IF(D176="","NEEDS_ORDER",IF(MOD(D176,5)=0,"AB",IF(MOD(D176,2)=0,"A","B")))))</x:f>
      </x:c>
      <x:c r="M176" s="32" t="str">
        <x:f>IF(A176="","",IF(OR(L176="A",L176="AB"),"yes","no"))</x:f>
      </x:c>
      <x:c r="N176" s="32" t="str">
        <x:f>IF(A176="","",IF(OR(L176="B",L176="AB"),"yes","no"))</x:f>
      </x:c>
      <x:c r="O176" s="32" t="str">
        <x:f>IF(A176="","",IF(OR(C176="",D176="",E176="",F176="",G176="",H176="",I176="",J176=""),"INCOMPLETE","READY"))</x:f>
      </x:c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32" t="str">
        <x:f>IF(A177="","",IF(OR(E177="L1",F177="medium",F177="high",G177="yes",H177="yes",I177="yes",J177="yes"),"higher","lower"))</x:f>
      </x:c>
      <x:c r="L177" s="32" t="str">
        <x:f>IF(A177="","",IF(K177="higher","AB",IF(D177="","NEEDS_ORDER",IF(MOD(D177,5)=0,"AB",IF(MOD(D177,2)=0,"A","B")))))</x:f>
      </x:c>
      <x:c r="M177" s="32" t="str">
        <x:f>IF(A177="","",IF(OR(L177="A",L177="AB"),"yes","no"))</x:f>
      </x:c>
      <x:c r="N177" s="32" t="str">
        <x:f>IF(A177="","",IF(OR(L177="B",L177="AB"),"yes","no"))</x:f>
      </x:c>
      <x:c r="O177" s="32" t="str">
        <x:f>IF(A177="","",IF(OR(C177="",D177="",E177="",F177="",G177="",H177="",I177="",J177=""),"INCOMPLETE","READY"))</x:f>
      </x:c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32" t="str">
        <x:f>IF(A178="","",IF(OR(E178="L1",F178="medium",F178="high",G178="yes",H178="yes",I178="yes",J178="yes"),"higher","lower"))</x:f>
      </x:c>
      <x:c r="L178" s="32" t="str">
        <x:f>IF(A178="","",IF(K178="higher","AB",IF(D178="","NEEDS_ORDER",IF(MOD(D178,5)=0,"AB",IF(MOD(D178,2)=0,"A","B")))))</x:f>
      </x:c>
      <x:c r="M178" s="32" t="str">
        <x:f>IF(A178="","",IF(OR(L178="A",L178="AB"),"yes","no"))</x:f>
      </x:c>
      <x:c r="N178" s="32" t="str">
        <x:f>IF(A178="","",IF(OR(L178="B",L178="AB"),"yes","no"))</x:f>
      </x:c>
      <x:c r="O178" s="32" t="str">
        <x:f>IF(A178="","",IF(OR(C178="",D178="",E178="",F178="",G178="",H178="",I178="",J178=""),"INCOMPLETE","READY"))</x:f>
      </x:c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32" t="str">
        <x:f>IF(A179="","",IF(OR(E179="L1",F179="medium",F179="high",G179="yes",H179="yes",I179="yes",J179="yes"),"higher","lower"))</x:f>
      </x:c>
      <x:c r="L179" s="32" t="str">
        <x:f>IF(A179="","",IF(K179="higher","AB",IF(D179="","NEEDS_ORDER",IF(MOD(D179,5)=0,"AB",IF(MOD(D179,2)=0,"A","B")))))</x:f>
      </x:c>
      <x:c r="M179" s="32" t="str">
        <x:f>IF(A179="","",IF(OR(L179="A",L179="AB"),"yes","no"))</x:f>
      </x:c>
      <x:c r="N179" s="32" t="str">
        <x:f>IF(A179="","",IF(OR(L179="B",L179="AB"),"yes","no"))</x:f>
      </x:c>
      <x:c r="O179" s="32" t="str">
        <x:f>IF(A179="","",IF(OR(C179="",D179="",E179="",F179="",G179="",H179="",I179="",J179=""),"INCOMPLETE","READY"))</x:f>
      </x:c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32" t="str">
        <x:f>IF(A180="","",IF(OR(E180="L1",F180="medium",F180="high",G180="yes",H180="yes",I180="yes",J180="yes"),"higher","lower"))</x:f>
      </x:c>
      <x:c r="L180" s="32" t="str">
        <x:f>IF(A180="","",IF(K180="higher","AB",IF(D180="","NEEDS_ORDER",IF(MOD(D180,5)=0,"AB",IF(MOD(D180,2)=0,"A","B")))))</x:f>
      </x:c>
      <x:c r="M180" s="32" t="str">
        <x:f>IF(A180="","",IF(OR(L180="A",L180="AB"),"yes","no"))</x:f>
      </x:c>
      <x:c r="N180" s="32" t="str">
        <x:f>IF(A180="","",IF(OR(L180="B",L180="AB"),"yes","no"))</x:f>
      </x:c>
      <x:c r="O180" s="32" t="str">
        <x:f>IF(A180="","",IF(OR(C180="",D180="",E180="",F180="",G180="",H180="",I180="",J180=""),"INCOMPLETE","READY"))</x:f>
      </x:c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32" t="str">
        <x:f>IF(A181="","",IF(OR(E181="L1",F181="medium",F181="high",G181="yes",H181="yes",I181="yes",J181="yes"),"higher","lower"))</x:f>
      </x:c>
      <x:c r="L181" s="32" t="str">
        <x:f>IF(A181="","",IF(K181="higher","AB",IF(D181="","NEEDS_ORDER",IF(MOD(D181,5)=0,"AB",IF(MOD(D181,2)=0,"A","B")))))</x:f>
      </x:c>
      <x:c r="M181" s="32" t="str">
        <x:f>IF(A181="","",IF(OR(L181="A",L181="AB"),"yes","no"))</x:f>
      </x:c>
      <x:c r="N181" s="32" t="str">
        <x:f>IF(A181="","",IF(OR(L181="B",L181="AB"),"yes","no"))</x:f>
      </x:c>
      <x:c r="O181" s="32" t="str">
        <x:f>IF(A181="","",IF(OR(C181="",D181="",E181="",F181="",G181="",H181="",I181="",J181=""),"INCOMPLETE","READY"))</x:f>
      </x:c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32" t="str">
        <x:f>IF(A182="","",IF(OR(E182="L1",F182="medium",F182="high",G182="yes",H182="yes",I182="yes",J182="yes"),"higher","lower"))</x:f>
      </x:c>
      <x:c r="L182" s="32" t="str">
        <x:f>IF(A182="","",IF(K182="higher","AB",IF(D182="","NEEDS_ORDER",IF(MOD(D182,5)=0,"AB",IF(MOD(D182,2)=0,"A","B")))))</x:f>
      </x:c>
      <x:c r="M182" s="32" t="str">
        <x:f>IF(A182="","",IF(OR(L182="A",L182="AB"),"yes","no"))</x:f>
      </x:c>
      <x:c r="N182" s="32" t="str">
        <x:f>IF(A182="","",IF(OR(L182="B",L182="AB"),"yes","no"))</x:f>
      </x:c>
      <x:c r="O182" s="32" t="str">
        <x:f>IF(A182="","",IF(OR(C182="",D182="",E182="",F182="",G182="",H182="",I182="",J182=""),"INCOMPLETE","READY"))</x:f>
      </x:c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32" t="str">
        <x:f>IF(A183="","",IF(OR(E183="L1",F183="medium",F183="high",G183="yes",H183="yes",I183="yes",J183="yes"),"higher","lower"))</x:f>
      </x:c>
      <x:c r="L183" s="32" t="str">
        <x:f>IF(A183="","",IF(K183="higher","AB",IF(D183="","NEEDS_ORDER",IF(MOD(D183,5)=0,"AB",IF(MOD(D183,2)=0,"A","B")))))</x:f>
      </x:c>
      <x:c r="M183" s="32" t="str">
        <x:f>IF(A183="","",IF(OR(L183="A",L183="AB"),"yes","no"))</x:f>
      </x:c>
      <x:c r="N183" s="32" t="str">
        <x:f>IF(A183="","",IF(OR(L183="B",L183="AB"),"yes","no"))</x:f>
      </x:c>
      <x:c r="O183" s="32" t="str">
        <x:f>IF(A183="","",IF(OR(C183="",D183="",E183="",F183="",G183="",H183="",I183="",J183=""),"INCOMPLETE","READY"))</x:f>
      </x:c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32" t="str">
        <x:f>IF(A184="","",IF(OR(E184="L1",F184="medium",F184="high",G184="yes",H184="yes",I184="yes",J184="yes"),"higher","lower"))</x:f>
      </x:c>
      <x:c r="L184" s="32" t="str">
        <x:f>IF(A184="","",IF(K184="higher","AB",IF(D184="","NEEDS_ORDER",IF(MOD(D184,5)=0,"AB",IF(MOD(D184,2)=0,"A","B")))))</x:f>
      </x:c>
      <x:c r="M184" s="32" t="str">
        <x:f>IF(A184="","",IF(OR(L184="A",L184="AB"),"yes","no"))</x:f>
      </x:c>
      <x:c r="N184" s="32" t="str">
        <x:f>IF(A184="","",IF(OR(L184="B",L184="AB"),"yes","no"))</x:f>
      </x:c>
      <x:c r="O184" s="32" t="str">
        <x:f>IF(A184="","",IF(OR(C184="",D184="",E184="",F184="",G184="",H184="",I184="",J184=""),"INCOMPLETE","READY"))</x:f>
      </x:c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32" t="str">
        <x:f>IF(A185="","",IF(OR(E185="L1",F185="medium",F185="high",G185="yes",H185="yes",I185="yes",J185="yes"),"higher","lower"))</x:f>
      </x:c>
      <x:c r="L185" s="32" t="str">
        <x:f>IF(A185="","",IF(K185="higher","AB",IF(D185="","NEEDS_ORDER",IF(MOD(D185,5)=0,"AB",IF(MOD(D185,2)=0,"A","B")))))</x:f>
      </x:c>
      <x:c r="M185" s="32" t="str">
        <x:f>IF(A185="","",IF(OR(L185="A",L185="AB"),"yes","no"))</x:f>
      </x:c>
      <x:c r="N185" s="32" t="str">
        <x:f>IF(A185="","",IF(OR(L185="B",L185="AB"),"yes","no"))</x:f>
      </x:c>
      <x:c r="O185" s="32" t="str">
        <x:f>IF(A185="","",IF(OR(C185="",D185="",E185="",F185="",G185="",H185="",I185="",J185=""),"INCOMPLETE","READY"))</x:f>
      </x:c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32" t="str">
        <x:f>IF(A186="","",IF(OR(E186="L1",F186="medium",F186="high",G186="yes",H186="yes",I186="yes",J186="yes"),"higher","lower"))</x:f>
      </x:c>
      <x:c r="L186" s="32" t="str">
        <x:f>IF(A186="","",IF(K186="higher","AB",IF(D186="","NEEDS_ORDER",IF(MOD(D186,5)=0,"AB",IF(MOD(D186,2)=0,"A","B")))))</x:f>
      </x:c>
      <x:c r="M186" s="32" t="str">
        <x:f>IF(A186="","",IF(OR(L186="A",L186="AB"),"yes","no"))</x:f>
      </x:c>
      <x:c r="N186" s="32" t="str">
        <x:f>IF(A186="","",IF(OR(L186="B",L186="AB"),"yes","no"))</x:f>
      </x:c>
      <x:c r="O186" s="32" t="str">
        <x:f>IF(A186="","",IF(OR(C186="",D186="",E186="",F186="",G186="",H186="",I186="",J186=""),"INCOMPLETE","READY"))</x:f>
      </x:c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32" t="str">
        <x:f>IF(A187="","",IF(OR(E187="L1",F187="medium",F187="high",G187="yes",H187="yes",I187="yes",J187="yes"),"higher","lower"))</x:f>
      </x:c>
      <x:c r="L187" s="32" t="str">
        <x:f>IF(A187="","",IF(K187="higher","AB",IF(D187="","NEEDS_ORDER",IF(MOD(D187,5)=0,"AB",IF(MOD(D187,2)=0,"A","B")))))</x:f>
      </x:c>
      <x:c r="M187" s="32" t="str">
        <x:f>IF(A187="","",IF(OR(L187="A",L187="AB"),"yes","no"))</x:f>
      </x:c>
      <x:c r="N187" s="32" t="str">
        <x:f>IF(A187="","",IF(OR(L187="B",L187="AB"),"yes","no"))</x:f>
      </x:c>
      <x:c r="O187" s="32" t="str">
        <x:f>IF(A187="","",IF(OR(C187="",D187="",E187="",F187="",G187="",H187="",I187="",J187=""),"INCOMPLETE","READY"))</x:f>
      </x:c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32" t="str">
        <x:f>IF(A188="","",IF(OR(E188="L1",F188="medium",F188="high",G188="yes",H188="yes",I188="yes",J188="yes"),"higher","lower"))</x:f>
      </x:c>
      <x:c r="L188" s="32" t="str">
        <x:f>IF(A188="","",IF(K188="higher","AB",IF(D188="","NEEDS_ORDER",IF(MOD(D188,5)=0,"AB",IF(MOD(D188,2)=0,"A","B")))))</x:f>
      </x:c>
      <x:c r="M188" s="32" t="str">
        <x:f>IF(A188="","",IF(OR(L188="A",L188="AB"),"yes","no"))</x:f>
      </x:c>
      <x:c r="N188" s="32" t="str">
        <x:f>IF(A188="","",IF(OR(L188="B",L188="AB"),"yes","no"))</x:f>
      </x:c>
      <x:c r="O188" s="32" t="str">
        <x:f>IF(A188="","",IF(OR(C188="",D188="",E188="",F188="",G188="",H188="",I188="",J188=""),"INCOMPLETE","READY"))</x:f>
      </x:c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32" t="str">
        <x:f>IF(A189="","",IF(OR(E189="L1",F189="medium",F189="high",G189="yes",H189="yes",I189="yes",J189="yes"),"higher","lower"))</x:f>
      </x:c>
      <x:c r="L189" s="32" t="str">
        <x:f>IF(A189="","",IF(K189="higher","AB",IF(D189="","NEEDS_ORDER",IF(MOD(D189,5)=0,"AB",IF(MOD(D189,2)=0,"A","B")))))</x:f>
      </x:c>
      <x:c r="M189" s="32" t="str">
        <x:f>IF(A189="","",IF(OR(L189="A",L189="AB"),"yes","no"))</x:f>
      </x:c>
      <x:c r="N189" s="32" t="str">
        <x:f>IF(A189="","",IF(OR(L189="B",L189="AB"),"yes","no"))</x:f>
      </x:c>
      <x:c r="O189" s="32" t="str">
        <x:f>IF(A189="","",IF(OR(C189="",D189="",E189="",F189="",G189="",H189="",I189="",J189=""),"INCOMPLETE","READY"))</x:f>
      </x:c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32" t="str">
        <x:f>IF(A190="","",IF(OR(E190="L1",F190="medium",F190="high",G190="yes",H190="yes",I190="yes",J190="yes"),"higher","lower"))</x:f>
      </x:c>
      <x:c r="L190" s="32" t="str">
        <x:f>IF(A190="","",IF(K190="higher","AB",IF(D190="","NEEDS_ORDER",IF(MOD(D190,5)=0,"AB",IF(MOD(D190,2)=0,"A","B")))))</x:f>
      </x:c>
      <x:c r="M190" s="32" t="str">
        <x:f>IF(A190="","",IF(OR(L190="A",L190="AB"),"yes","no"))</x:f>
      </x:c>
      <x:c r="N190" s="32" t="str">
        <x:f>IF(A190="","",IF(OR(L190="B",L190="AB"),"yes","no"))</x:f>
      </x:c>
      <x:c r="O190" s="32" t="str">
        <x:f>IF(A190="","",IF(OR(C190="",D190="",E190="",F190="",G190="",H190="",I190="",J190=""),"INCOMPLETE","READY"))</x:f>
      </x:c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32" t="str">
        <x:f>IF(A191="","",IF(OR(E191="L1",F191="medium",F191="high",G191="yes",H191="yes",I191="yes",J191="yes"),"higher","lower"))</x:f>
      </x:c>
      <x:c r="L191" s="32" t="str">
        <x:f>IF(A191="","",IF(K191="higher","AB",IF(D191="","NEEDS_ORDER",IF(MOD(D191,5)=0,"AB",IF(MOD(D191,2)=0,"A","B")))))</x:f>
      </x:c>
      <x:c r="M191" s="32" t="str">
        <x:f>IF(A191="","",IF(OR(L191="A",L191="AB"),"yes","no"))</x:f>
      </x:c>
      <x:c r="N191" s="32" t="str">
        <x:f>IF(A191="","",IF(OR(L191="B",L191="AB"),"yes","no"))</x:f>
      </x:c>
      <x:c r="O191" s="32" t="str">
        <x:f>IF(A191="","",IF(OR(C191="",D191="",E191="",F191="",G191="",H191="",I191="",J191=""),"INCOMPLETE","READY"))</x:f>
      </x:c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32" t="str">
        <x:f>IF(A192="","",IF(OR(E192="L1",F192="medium",F192="high",G192="yes",H192="yes",I192="yes",J192="yes"),"higher","lower"))</x:f>
      </x:c>
      <x:c r="L192" s="32" t="str">
        <x:f>IF(A192="","",IF(K192="higher","AB",IF(D192="","NEEDS_ORDER",IF(MOD(D192,5)=0,"AB",IF(MOD(D192,2)=0,"A","B")))))</x:f>
      </x:c>
      <x:c r="M192" s="32" t="str">
        <x:f>IF(A192="","",IF(OR(L192="A",L192="AB"),"yes","no"))</x:f>
      </x:c>
      <x:c r="N192" s="32" t="str">
        <x:f>IF(A192="","",IF(OR(L192="B",L192="AB"),"yes","no"))</x:f>
      </x:c>
      <x:c r="O192" s="32" t="str">
        <x:f>IF(A192="","",IF(OR(C192="",D192="",E192="",F192="",G192="",H192="",I192="",J192=""),"INCOMPLETE","READY"))</x:f>
      </x:c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32" t="str">
        <x:f>IF(A193="","",IF(OR(E193="L1",F193="medium",F193="high",G193="yes",H193="yes",I193="yes",J193="yes"),"higher","lower"))</x:f>
      </x:c>
      <x:c r="L193" s="32" t="str">
        <x:f>IF(A193="","",IF(K193="higher","AB",IF(D193="","NEEDS_ORDER",IF(MOD(D193,5)=0,"AB",IF(MOD(D193,2)=0,"A","B")))))</x:f>
      </x:c>
      <x:c r="M193" s="32" t="str">
        <x:f>IF(A193="","",IF(OR(L193="A",L193="AB"),"yes","no"))</x:f>
      </x:c>
      <x:c r="N193" s="32" t="str">
        <x:f>IF(A193="","",IF(OR(L193="B",L193="AB"),"yes","no"))</x:f>
      </x:c>
      <x:c r="O193" s="32" t="str">
        <x:f>IF(A193="","",IF(OR(C193="",D193="",E193="",F193="",G193="",H193="",I193="",J193=""),"INCOMPLETE","READY"))</x:f>
      </x:c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32" t="str">
        <x:f>IF(A194="","",IF(OR(E194="L1",F194="medium",F194="high",G194="yes",H194="yes",I194="yes",J194="yes"),"higher","lower"))</x:f>
      </x:c>
      <x:c r="L194" s="32" t="str">
        <x:f>IF(A194="","",IF(K194="higher","AB",IF(D194="","NEEDS_ORDER",IF(MOD(D194,5)=0,"AB",IF(MOD(D194,2)=0,"A","B")))))</x:f>
      </x:c>
      <x:c r="M194" s="32" t="str">
        <x:f>IF(A194="","",IF(OR(L194="A",L194="AB"),"yes","no"))</x:f>
      </x:c>
      <x:c r="N194" s="32" t="str">
        <x:f>IF(A194="","",IF(OR(L194="B",L194="AB"),"yes","no"))</x:f>
      </x:c>
      <x:c r="O194" s="32" t="str">
        <x:f>IF(A194="","",IF(OR(C194="",D194="",E194="",F194="",G194="",H194="",I194="",J194=""),"INCOMPLETE","READY"))</x:f>
      </x:c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32" t="str">
        <x:f>IF(A195="","",IF(OR(E195="L1",F195="medium",F195="high",G195="yes",H195="yes",I195="yes",J195="yes"),"higher","lower"))</x:f>
      </x:c>
      <x:c r="L195" s="32" t="str">
        <x:f>IF(A195="","",IF(K195="higher","AB",IF(D195="","NEEDS_ORDER",IF(MOD(D195,5)=0,"AB",IF(MOD(D195,2)=0,"A","B")))))</x:f>
      </x:c>
      <x:c r="M195" s="32" t="str">
        <x:f>IF(A195="","",IF(OR(L195="A",L195="AB"),"yes","no"))</x:f>
      </x:c>
      <x:c r="N195" s="32" t="str">
        <x:f>IF(A195="","",IF(OR(L195="B",L195="AB"),"yes","no"))</x:f>
      </x:c>
      <x:c r="O195" s="32" t="str">
        <x:f>IF(A195="","",IF(OR(C195="",D195="",E195="",F195="",G195="",H195="",I195="",J195=""),"INCOMPLETE","READY"))</x:f>
      </x:c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32" t="str">
        <x:f>IF(A196="","",IF(OR(E196="L1",F196="medium",F196="high",G196="yes",H196="yes",I196="yes",J196="yes"),"higher","lower"))</x:f>
      </x:c>
      <x:c r="L196" s="32" t="str">
        <x:f>IF(A196="","",IF(K196="higher","AB",IF(D196="","NEEDS_ORDER",IF(MOD(D196,5)=0,"AB",IF(MOD(D196,2)=0,"A","B")))))</x:f>
      </x:c>
      <x:c r="M196" s="32" t="str">
        <x:f>IF(A196="","",IF(OR(L196="A",L196="AB"),"yes","no"))</x:f>
      </x:c>
      <x:c r="N196" s="32" t="str">
        <x:f>IF(A196="","",IF(OR(L196="B",L196="AB"),"yes","no"))</x:f>
      </x:c>
      <x:c r="O196" s="32" t="str">
        <x:f>IF(A196="","",IF(OR(C196="",D196="",E196="",F196="",G196="",H196="",I196="",J196=""),"INCOMPLETE","READY"))</x:f>
      </x:c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32" t="str">
        <x:f>IF(A197="","",IF(OR(E197="L1",F197="medium",F197="high",G197="yes",H197="yes",I197="yes",J197="yes"),"higher","lower"))</x:f>
      </x:c>
      <x:c r="L197" s="32" t="str">
        <x:f>IF(A197="","",IF(K197="higher","AB",IF(D197="","NEEDS_ORDER",IF(MOD(D197,5)=0,"AB",IF(MOD(D197,2)=0,"A","B")))))</x:f>
      </x:c>
      <x:c r="M197" s="32" t="str">
        <x:f>IF(A197="","",IF(OR(L197="A",L197="AB"),"yes","no"))</x:f>
      </x:c>
      <x:c r="N197" s="32" t="str">
        <x:f>IF(A197="","",IF(OR(L197="B",L197="AB"),"yes","no"))</x:f>
      </x:c>
      <x:c r="O197" s="32" t="str">
        <x:f>IF(A197="","",IF(OR(C197="",D197="",E197="",F197="",G197="",H197="",I197="",J197=""),"INCOMPLETE","READY"))</x:f>
      </x:c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32" t="str">
        <x:f>IF(A198="","",IF(OR(E198="L1",F198="medium",F198="high",G198="yes",H198="yes",I198="yes",J198="yes"),"higher","lower"))</x:f>
      </x:c>
      <x:c r="L198" s="32" t="str">
        <x:f>IF(A198="","",IF(K198="higher","AB",IF(D198="","NEEDS_ORDER",IF(MOD(D198,5)=0,"AB",IF(MOD(D198,2)=0,"A","B")))))</x:f>
      </x:c>
      <x:c r="M198" s="32" t="str">
        <x:f>IF(A198="","",IF(OR(L198="A",L198="AB"),"yes","no"))</x:f>
      </x:c>
      <x:c r="N198" s="32" t="str">
        <x:f>IF(A198="","",IF(OR(L198="B",L198="AB"),"yes","no"))</x:f>
      </x:c>
      <x:c r="O198" s="32" t="str">
        <x:f>IF(A198="","",IF(OR(C198="",D198="",E198="",F198="",G198="",H198="",I198="",J198=""),"INCOMPLETE","READY"))</x:f>
      </x:c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32" t="str">
        <x:f>IF(A199="","",IF(OR(E199="L1",F199="medium",F199="high",G199="yes",H199="yes",I199="yes",J199="yes"),"higher","lower"))</x:f>
      </x:c>
      <x:c r="L199" s="32" t="str">
        <x:f>IF(A199="","",IF(K199="higher","AB",IF(D199="","NEEDS_ORDER",IF(MOD(D199,5)=0,"AB",IF(MOD(D199,2)=0,"A","B")))))</x:f>
      </x:c>
      <x:c r="M199" s="32" t="str">
        <x:f>IF(A199="","",IF(OR(L199="A",L199="AB"),"yes","no"))</x:f>
      </x:c>
      <x:c r="N199" s="32" t="str">
        <x:f>IF(A199="","",IF(OR(L199="B",L199="AB"),"yes","no"))</x:f>
      </x:c>
      <x:c r="O199" s="32" t="str">
        <x:f>IF(A199="","",IF(OR(C199="",D199="",E199="",F199="",G199="",H199="",I199="",J199=""),"INCOMPLETE","READY"))</x:f>
      </x:c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32" t="str">
        <x:f>IF(A200="","",IF(OR(E200="L1",F200="medium",F200="high",G200="yes",H200="yes",I200="yes",J200="yes"),"higher","lower"))</x:f>
      </x:c>
      <x:c r="L200" s="32" t="str">
        <x:f>IF(A200="","",IF(K200="higher","AB",IF(D200="","NEEDS_ORDER",IF(MOD(D200,5)=0,"AB",IF(MOD(D200,2)=0,"A","B")))))</x:f>
      </x:c>
      <x:c r="M200" s="32" t="str">
        <x:f>IF(A200="","",IF(OR(L200="A",L200="AB"),"yes","no"))</x:f>
      </x:c>
      <x:c r="N200" s="32" t="str">
        <x:f>IF(A200="","",IF(OR(L200="B",L200="AB"),"yes","no"))</x:f>
      </x:c>
      <x:c r="O200" s="32" t="str">
        <x:f>IF(A200="","",IF(OR(C200="",D200="",E200="",F200="",G200="",H200="",I200="",J200=""),"INCOMPLETE","READY"))</x:f>
      </x:c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32" t="str">
        <x:f>IF(A201="","",IF(OR(E201="L1",F201="medium",F201="high",G201="yes",H201="yes",I201="yes",J201="yes"),"higher","lower"))</x:f>
      </x:c>
      <x:c r="L201" s="32" t="str">
        <x:f>IF(A201="","",IF(K201="higher","AB",IF(D201="","NEEDS_ORDER",IF(MOD(D201,5)=0,"AB",IF(MOD(D201,2)=0,"A","B")))))</x:f>
      </x:c>
      <x:c r="M201" s="32" t="str">
        <x:f>IF(A201="","",IF(OR(L201="A",L201="AB"),"yes","no"))</x:f>
      </x:c>
      <x:c r="N201" s="32" t="str">
        <x:f>IF(A201="","",IF(OR(L201="B",L201="AB"),"yes","no"))</x:f>
      </x:c>
      <x:c r="O201" s="32" t="str">
        <x:f>IF(A201="","",IF(OR(C201="",D201="",E201="",F201="",G201="",H201="",I201="",J201=""),"INCOMPLETE","READY"))</x:f>
      </x:c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32" t="str">
        <x:f>IF(A202="","",IF(OR(E202="L1",F202="medium",F202="high",G202="yes",H202="yes",I202="yes",J202="yes"),"higher","lower"))</x:f>
      </x:c>
      <x:c r="L202" s="32" t="str">
        <x:f>IF(A202="","",IF(K202="higher","AB",IF(D202="","NEEDS_ORDER",IF(MOD(D202,5)=0,"AB",IF(MOD(D202,2)=0,"A","B")))))</x:f>
      </x:c>
      <x:c r="M202" s="32" t="str">
        <x:f>IF(A202="","",IF(OR(L202="A",L202="AB"),"yes","no"))</x:f>
      </x:c>
      <x:c r="N202" s="32" t="str">
        <x:f>IF(A202="","",IF(OR(L202="B",L202="AB"),"yes","no"))</x:f>
      </x:c>
      <x:c r="O202" s="32" t="str">
        <x:f>IF(A202="","",IF(OR(C202="",D202="",E202="",F202="",G202="",H202="",I202="",J202=""),"INCOMPLETE","READY"))</x:f>
      </x:c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32" t="str">
        <x:f>IF(A203="","",IF(OR(E203="L1",F203="medium",F203="high",G203="yes",H203="yes",I203="yes",J203="yes"),"higher","lower"))</x:f>
      </x:c>
      <x:c r="L203" s="32" t="str">
        <x:f>IF(A203="","",IF(K203="higher","AB",IF(D203="","NEEDS_ORDER",IF(MOD(D203,5)=0,"AB",IF(MOD(D203,2)=0,"A","B")))))</x:f>
      </x:c>
      <x:c r="M203" s="32" t="str">
        <x:f>IF(A203="","",IF(OR(L203="A",L203="AB"),"yes","no"))</x:f>
      </x:c>
      <x:c r="N203" s="32" t="str">
        <x:f>IF(A203="","",IF(OR(L203="B",L203="AB"),"yes","no"))</x:f>
      </x:c>
      <x:c r="O203" s="32" t="str">
        <x:f>IF(A203="","",IF(OR(C203="",D203="",E203="",F203="",G203="",H203="",I203="",J203=""),"INCOMPLETE","READY"))</x:f>
      </x:c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32" t="str">
        <x:f>IF(A204="","",IF(OR(E204="L1",F204="medium",F204="high",G204="yes",H204="yes",I204="yes",J204="yes"),"higher","lower"))</x:f>
      </x:c>
      <x:c r="L204" s="32" t="str">
        <x:f>IF(A204="","",IF(K204="higher","AB",IF(D204="","NEEDS_ORDER",IF(MOD(D204,5)=0,"AB",IF(MOD(D204,2)=0,"A","B")))))</x:f>
      </x:c>
      <x:c r="M204" s="32" t="str">
        <x:f>IF(A204="","",IF(OR(L204="A",L204="AB"),"yes","no"))</x:f>
      </x:c>
      <x:c r="N204" s="32" t="str">
        <x:f>IF(A204="","",IF(OR(L204="B",L204="AB"),"yes","no"))</x:f>
      </x:c>
      <x:c r="O204" s="32" t="str">
        <x:f>IF(A204="","",IF(OR(C204="",D204="",E204="",F204="",G204="",H204="",I204="",J204=""),"INCOMPLETE","READY"))</x:f>
      </x:c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32" t="str">
        <x:f>IF(A205="","",IF(OR(E205="L1",F205="medium",F205="high",G205="yes",H205="yes",I205="yes",J205="yes"),"higher","lower"))</x:f>
      </x:c>
      <x:c r="L205" s="32" t="str">
        <x:f>IF(A205="","",IF(K205="higher","AB",IF(D205="","NEEDS_ORDER",IF(MOD(D205,5)=0,"AB",IF(MOD(D205,2)=0,"A","B")))))</x:f>
      </x:c>
      <x:c r="M205" s="32" t="str">
        <x:f>IF(A205="","",IF(OR(L205="A",L205="AB"),"yes","no"))</x:f>
      </x:c>
      <x:c r="N205" s="32" t="str">
        <x:f>IF(A205="","",IF(OR(L205="B",L205="AB"),"yes","no"))</x:f>
      </x:c>
      <x:c r="O205" s="32" t="str">
        <x:f>IF(A205="","",IF(OR(C205="",D205="",E205="",F205="",G205="",H205="",I205="",J205=""),"INCOMPLETE","READY"))</x:f>
      </x:c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32" t="str">
        <x:f>IF(A206="","",IF(OR(E206="L1",F206="medium",F206="high",G206="yes",H206="yes",I206="yes",J206="yes"),"higher","lower"))</x:f>
      </x:c>
      <x:c r="L206" s="32" t="str">
        <x:f>IF(A206="","",IF(K206="higher","AB",IF(D206="","NEEDS_ORDER",IF(MOD(D206,5)=0,"AB",IF(MOD(D206,2)=0,"A","B")))))</x:f>
      </x:c>
      <x:c r="M206" s="32" t="str">
        <x:f>IF(A206="","",IF(OR(L206="A",L206="AB"),"yes","no"))</x:f>
      </x:c>
      <x:c r="N206" s="32" t="str">
        <x:f>IF(A206="","",IF(OR(L206="B",L206="AB"),"yes","no"))</x:f>
      </x:c>
      <x:c r="O206" s="32" t="str">
        <x:f>IF(A206="","",IF(OR(C206="",D206="",E206="",F206="",G206="",H206="",I206="",J206=""),"INCOMPLETE","READY"))</x:f>
      </x:c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32" t="str">
        <x:f>IF(A207="","",IF(OR(E207="L1",F207="medium",F207="high",G207="yes",H207="yes",I207="yes",J207="yes"),"higher","lower"))</x:f>
      </x:c>
      <x:c r="L207" s="32" t="str">
        <x:f>IF(A207="","",IF(K207="higher","AB",IF(D207="","NEEDS_ORDER",IF(MOD(D207,5)=0,"AB",IF(MOD(D207,2)=0,"A","B")))))</x:f>
      </x:c>
      <x:c r="M207" s="32" t="str">
        <x:f>IF(A207="","",IF(OR(L207="A",L207="AB"),"yes","no"))</x:f>
      </x:c>
      <x:c r="N207" s="32" t="str">
        <x:f>IF(A207="","",IF(OR(L207="B",L207="AB"),"yes","no"))</x:f>
      </x:c>
      <x:c r="O207" s="32" t="str">
        <x:f>IF(A207="","",IF(OR(C207="",D207="",E207="",F207="",G207="",H207="",I207="",J207=""),"INCOMPLETE","READY"))</x:f>
      </x:c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32" t="str">
        <x:f>IF(A208="","",IF(OR(E208="L1",F208="medium",F208="high",G208="yes",H208="yes",I208="yes",J208="yes"),"higher","lower"))</x:f>
      </x:c>
      <x:c r="L208" s="32" t="str">
        <x:f>IF(A208="","",IF(K208="higher","AB",IF(D208="","NEEDS_ORDER",IF(MOD(D208,5)=0,"AB",IF(MOD(D208,2)=0,"A","B")))))</x:f>
      </x:c>
      <x:c r="M208" s="32" t="str">
        <x:f>IF(A208="","",IF(OR(L208="A",L208="AB"),"yes","no"))</x:f>
      </x:c>
      <x:c r="N208" s="32" t="str">
        <x:f>IF(A208="","",IF(OR(L208="B",L208="AB"),"yes","no"))</x:f>
      </x:c>
      <x:c r="O208" s="32" t="str">
        <x:f>IF(A208="","",IF(OR(C208="",D208="",E208="",F208="",G208="",H208="",I208="",J208=""),"INCOMPLETE","READY"))</x:f>
      </x:c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32" t="str">
        <x:f>IF(A209="","",IF(OR(E209="L1",F209="medium",F209="high",G209="yes",H209="yes",I209="yes",J209="yes"),"higher","lower"))</x:f>
      </x:c>
      <x:c r="L209" s="32" t="str">
        <x:f>IF(A209="","",IF(K209="higher","AB",IF(D209="","NEEDS_ORDER",IF(MOD(D209,5)=0,"AB",IF(MOD(D209,2)=0,"A","B")))))</x:f>
      </x:c>
      <x:c r="M209" s="32" t="str">
        <x:f>IF(A209="","",IF(OR(L209="A",L209="AB"),"yes","no"))</x:f>
      </x:c>
      <x:c r="N209" s="32" t="str">
        <x:f>IF(A209="","",IF(OR(L209="B",L209="AB"),"yes","no"))</x:f>
      </x:c>
      <x:c r="O209" s="32" t="str">
        <x:f>IF(A209="","",IF(OR(C209="",D209="",E209="",F209="",G209="",H209="",I209="",J209=""),"INCOMPLETE","READY"))</x:f>
      </x:c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32" t="str">
        <x:f>IF(A210="","",IF(OR(E210="L1",F210="medium",F210="high",G210="yes",H210="yes",I210="yes",J210="yes"),"higher","lower"))</x:f>
      </x:c>
      <x:c r="L210" s="32" t="str">
        <x:f>IF(A210="","",IF(K210="higher","AB",IF(D210="","NEEDS_ORDER",IF(MOD(D210,5)=0,"AB",IF(MOD(D210,2)=0,"A","B")))))</x:f>
      </x:c>
      <x:c r="M210" s="32" t="str">
        <x:f>IF(A210="","",IF(OR(L210="A",L210="AB"),"yes","no"))</x:f>
      </x:c>
      <x:c r="N210" s="32" t="str">
        <x:f>IF(A210="","",IF(OR(L210="B",L210="AB"),"yes","no"))</x:f>
      </x:c>
      <x:c r="O210" s="32" t="str">
        <x:f>IF(A210="","",IF(OR(C210="",D210="",E210="",F210="",G210="",H210="",I210="",J210=""),"INCOMPLETE","READY"))</x:f>
      </x:c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32" t="str">
        <x:f>IF(A211="","",IF(OR(E211="L1",F211="medium",F211="high",G211="yes",H211="yes",I211="yes",J211="yes"),"higher","lower"))</x:f>
      </x:c>
      <x:c r="L211" s="32" t="str">
        <x:f>IF(A211="","",IF(K211="higher","AB",IF(D211="","NEEDS_ORDER",IF(MOD(D211,5)=0,"AB",IF(MOD(D211,2)=0,"A","B")))))</x:f>
      </x:c>
      <x:c r="M211" s="32" t="str">
        <x:f>IF(A211="","",IF(OR(L211="A",L211="AB"),"yes","no"))</x:f>
      </x:c>
      <x:c r="N211" s="32" t="str">
        <x:f>IF(A211="","",IF(OR(L211="B",L211="AB"),"yes","no"))</x:f>
      </x:c>
      <x:c r="O211" s="32" t="str">
        <x:f>IF(A211="","",IF(OR(C211="",D211="",E211="",F211="",G211="",H211="",I211="",J211=""),"INCOMPLETE","READY"))</x:f>
      </x:c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32" t="str">
        <x:f>IF(A212="","",IF(OR(E212="L1",F212="medium",F212="high",G212="yes",H212="yes",I212="yes",J212="yes"),"higher","lower"))</x:f>
      </x:c>
      <x:c r="L212" s="32" t="str">
        <x:f>IF(A212="","",IF(K212="higher","AB",IF(D212="","NEEDS_ORDER",IF(MOD(D212,5)=0,"AB",IF(MOD(D212,2)=0,"A","B")))))</x:f>
      </x:c>
      <x:c r="M212" s="32" t="str">
        <x:f>IF(A212="","",IF(OR(L212="A",L212="AB"),"yes","no"))</x:f>
      </x:c>
      <x:c r="N212" s="32" t="str">
        <x:f>IF(A212="","",IF(OR(L212="B",L212="AB"),"yes","no"))</x:f>
      </x:c>
      <x:c r="O212" s="32" t="str">
        <x:f>IF(A212="","",IF(OR(C212="",D212="",E212="",F212="",G212="",H212="",I212="",J212=""),"INCOMPLETE","READY"))</x:f>
      </x:c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32" t="str">
        <x:f>IF(A213="","",IF(OR(E213="L1",F213="medium",F213="high",G213="yes",H213="yes",I213="yes",J213="yes"),"higher","lower"))</x:f>
      </x:c>
      <x:c r="L213" s="32" t="str">
        <x:f>IF(A213="","",IF(K213="higher","AB",IF(D213="","NEEDS_ORDER",IF(MOD(D213,5)=0,"AB",IF(MOD(D213,2)=0,"A","B")))))</x:f>
      </x:c>
      <x:c r="M213" s="32" t="str">
        <x:f>IF(A213="","",IF(OR(L213="A",L213="AB"),"yes","no"))</x:f>
      </x:c>
      <x:c r="N213" s="32" t="str">
        <x:f>IF(A213="","",IF(OR(L213="B",L213="AB"),"yes","no"))</x:f>
      </x:c>
      <x:c r="O213" s="32" t="str">
        <x:f>IF(A213="","",IF(OR(C213="",D213="",E213="",F213="",G213="",H213="",I213="",J213=""),"INCOMPLETE","READY"))</x:f>
      </x:c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32" t="str">
        <x:f>IF(A214="","",IF(OR(E214="L1",F214="medium",F214="high",G214="yes",H214="yes",I214="yes",J214="yes"),"higher","lower"))</x:f>
      </x:c>
      <x:c r="L214" s="32" t="str">
        <x:f>IF(A214="","",IF(K214="higher","AB",IF(D214="","NEEDS_ORDER",IF(MOD(D214,5)=0,"AB",IF(MOD(D214,2)=0,"A","B")))))</x:f>
      </x:c>
      <x:c r="M214" s="32" t="str">
        <x:f>IF(A214="","",IF(OR(L214="A",L214="AB"),"yes","no"))</x:f>
      </x:c>
      <x:c r="N214" s="32" t="str">
        <x:f>IF(A214="","",IF(OR(L214="B",L214="AB"),"yes","no"))</x:f>
      </x:c>
      <x:c r="O214" s="32" t="str">
        <x:f>IF(A214="","",IF(OR(C214="",D214="",E214="",F214="",G214="",H214="",I214="",J214=""),"INCOMPLETE","READY"))</x:f>
      </x:c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32" t="str">
        <x:f>IF(A215="","",IF(OR(E215="L1",F215="medium",F215="high",G215="yes",H215="yes",I215="yes",J215="yes"),"higher","lower"))</x:f>
      </x:c>
      <x:c r="L215" s="32" t="str">
        <x:f>IF(A215="","",IF(K215="higher","AB",IF(D215="","NEEDS_ORDER",IF(MOD(D215,5)=0,"AB",IF(MOD(D215,2)=0,"A","B")))))</x:f>
      </x:c>
      <x:c r="M215" s="32" t="str">
        <x:f>IF(A215="","",IF(OR(L215="A",L215="AB"),"yes","no"))</x:f>
      </x:c>
      <x:c r="N215" s="32" t="str">
        <x:f>IF(A215="","",IF(OR(L215="B",L215="AB"),"yes","no"))</x:f>
      </x:c>
      <x:c r="O215" s="32" t="str">
        <x:f>IF(A215="","",IF(OR(C215="",D215="",E215="",F215="",G215="",H215="",I215="",J215=""),"INCOMPLETE","READY"))</x:f>
      </x:c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32" t="str">
        <x:f>IF(A216="","",IF(OR(E216="L1",F216="medium",F216="high",G216="yes",H216="yes",I216="yes",J216="yes"),"higher","lower"))</x:f>
      </x:c>
      <x:c r="L216" s="32" t="str">
        <x:f>IF(A216="","",IF(K216="higher","AB",IF(D216="","NEEDS_ORDER",IF(MOD(D216,5)=0,"AB",IF(MOD(D216,2)=0,"A","B")))))</x:f>
      </x:c>
      <x:c r="M216" s="32" t="str">
        <x:f>IF(A216="","",IF(OR(L216="A",L216="AB"),"yes","no"))</x:f>
      </x:c>
      <x:c r="N216" s="32" t="str">
        <x:f>IF(A216="","",IF(OR(L216="B",L216="AB"),"yes","no"))</x:f>
      </x:c>
      <x:c r="O216" s="32" t="str">
        <x:f>IF(A216="","",IF(OR(C216="",D216="",E216="",F216="",G216="",H216="",I216="",J216=""),"INCOMPLETE","READY"))</x:f>
      </x:c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32" t="str">
        <x:f>IF(A217="","",IF(OR(E217="L1",F217="medium",F217="high",G217="yes",H217="yes",I217="yes",J217="yes"),"higher","lower"))</x:f>
      </x:c>
      <x:c r="L217" s="32" t="str">
        <x:f>IF(A217="","",IF(K217="higher","AB",IF(D217="","NEEDS_ORDER",IF(MOD(D217,5)=0,"AB",IF(MOD(D217,2)=0,"A","B")))))</x:f>
      </x:c>
      <x:c r="M217" s="32" t="str">
        <x:f>IF(A217="","",IF(OR(L217="A",L217="AB"),"yes","no"))</x:f>
      </x:c>
      <x:c r="N217" s="32" t="str">
        <x:f>IF(A217="","",IF(OR(L217="B",L217="AB"),"yes","no"))</x:f>
      </x:c>
      <x:c r="O217" s="32" t="str">
        <x:f>IF(A217="","",IF(OR(C217="",D217="",E217="",F217="",G217="",H217="",I217="",J217=""),"INCOMPLETE","READY"))</x:f>
      </x:c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32" t="str">
        <x:f>IF(A218="","",IF(OR(E218="L1",F218="medium",F218="high",G218="yes",H218="yes",I218="yes",J218="yes"),"higher","lower"))</x:f>
      </x:c>
      <x:c r="L218" s="32" t="str">
        <x:f>IF(A218="","",IF(K218="higher","AB",IF(D218="","NEEDS_ORDER",IF(MOD(D218,5)=0,"AB",IF(MOD(D218,2)=0,"A","B")))))</x:f>
      </x:c>
      <x:c r="M218" s="32" t="str">
        <x:f>IF(A218="","",IF(OR(L218="A",L218="AB"),"yes","no"))</x:f>
      </x:c>
      <x:c r="N218" s="32" t="str">
        <x:f>IF(A218="","",IF(OR(L218="B",L218="AB"),"yes","no"))</x:f>
      </x:c>
      <x:c r="O218" s="32" t="str">
        <x:f>IF(A218="","",IF(OR(C218="",D218="",E218="",F218="",G218="",H218="",I218="",J218=""),"INCOMPLETE","READY"))</x:f>
      </x:c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32" t="str">
        <x:f>IF(A219="","",IF(OR(E219="L1",F219="medium",F219="high",G219="yes",H219="yes",I219="yes",J219="yes"),"higher","lower"))</x:f>
      </x:c>
      <x:c r="L219" s="32" t="str">
        <x:f>IF(A219="","",IF(K219="higher","AB",IF(D219="","NEEDS_ORDER",IF(MOD(D219,5)=0,"AB",IF(MOD(D219,2)=0,"A","B")))))</x:f>
      </x:c>
      <x:c r="M219" s="32" t="str">
        <x:f>IF(A219="","",IF(OR(L219="A",L219="AB"),"yes","no"))</x:f>
      </x:c>
      <x:c r="N219" s="32" t="str">
        <x:f>IF(A219="","",IF(OR(L219="B",L219="AB"),"yes","no"))</x:f>
      </x:c>
      <x:c r="O219" s="32" t="str">
        <x:f>IF(A219="","",IF(OR(C219="",D219="",E219="",F219="",G219="",H219="",I219="",J219=""),"INCOMPLETE","READY"))</x:f>
      </x:c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32" t="str">
        <x:f>IF(A220="","",IF(OR(E220="L1",F220="medium",F220="high",G220="yes",H220="yes",I220="yes",J220="yes"),"higher","lower"))</x:f>
      </x:c>
      <x:c r="L220" s="32" t="str">
        <x:f>IF(A220="","",IF(K220="higher","AB",IF(D220="","NEEDS_ORDER",IF(MOD(D220,5)=0,"AB",IF(MOD(D220,2)=0,"A","B")))))</x:f>
      </x:c>
      <x:c r="M220" s="32" t="str">
        <x:f>IF(A220="","",IF(OR(L220="A",L220="AB"),"yes","no"))</x:f>
      </x:c>
      <x:c r="N220" s="32" t="str">
        <x:f>IF(A220="","",IF(OR(L220="B",L220="AB"),"yes","no"))</x:f>
      </x:c>
      <x:c r="O220" s="32" t="str">
        <x:f>IF(A220="","",IF(OR(C220="",D220="",E220="",F220="",G220="",H220="",I220="",J220=""),"INCOMPLETE","READY"))</x:f>
      </x:c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32" t="str">
        <x:f>IF(A221="","",IF(OR(E221="L1",F221="medium",F221="high",G221="yes",H221="yes",I221="yes",J221="yes"),"higher","lower"))</x:f>
      </x:c>
      <x:c r="L221" s="32" t="str">
        <x:f>IF(A221="","",IF(K221="higher","AB",IF(D221="","NEEDS_ORDER",IF(MOD(D221,5)=0,"AB",IF(MOD(D221,2)=0,"A","B")))))</x:f>
      </x:c>
      <x:c r="M221" s="32" t="str">
        <x:f>IF(A221="","",IF(OR(L221="A",L221="AB"),"yes","no"))</x:f>
      </x:c>
      <x:c r="N221" s="32" t="str">
        <x:f>IF(A221="","",IF(OR(L221="B",L221="AB"),"yes","no"))</x:f>
      </x:c>
      <x:c r="O221" s="32" t="str">
        <x:f>IF(A221="","",IF(OR(C221="",D221="",E221="",F221="",G221="",H221="",I221="",J221=""),"INCOMPLETE","READY"))</x:f>
      </x:c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32" t="str">
        <x:f>IF(A222="","",IF(OR(E222="L1",F222="medium",F222="high",G222="yes",H222="yes",I222="yes",J222="yes"),"higher","lower"))</x:f>
      </x:c>
      <x:c r="L222" s="32" t="str">
        <x:f>IF(A222="","",IF(K222="higher","AB",IF(D222="","NEEDS_ORDER",IF(MOD(D222,5)=0,"AB",IF(MOD(D222,2)=0,"A","B")))))</x:f>
      </x:c>
      <x:c r="M222" s="32" t="str">
        <x:f>IF(A222="","",IF(OR(L222="A",L222="AB"),"yes","no"))</x:f>
      </x:c>
      <x:c r="N222" s="32" t="str">
        <x:f>IF(A222="","",IF(OR(L222="B",L222="AB"),"yes","no"))</x:f>
      </x:c>
      <x:c r="O222" s="32" t="str">
        <x:f>IF(A222="","",IF(OR(C222="",D222="",E222="",F222="",G222="",H222="",I222="",J222=""),"INCOMPLETE","READY"))</x:f>
      </x:c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32" t="str">
        <x:f>IF(A223="","",IF(OR(E223="L1",F223="medium",F223="high",G223="yes",H223="yes",I223="yes",J223="yes"),"higher","lower"))</x:f>
      </x:c>
      <x:c r="L223" s="32" t="str">
        <x:f>IF(A223="","",IF(K223="higher","AB",IF(D223="","NEEDS_ORDER",IF(MOD(D223,5)=0,"AB",IF(MOD(D223,2)=0,"A","B")))))</x:f>
      </x:c>
      <x:c r="M223" s="32" t="str">
        <x:f>IF(A223="","",IF(OR(L223="A",L223="AB"),"yes","no"))</x:f>
      </x:c>
      <x:c r="N223" s="32" t="str">
        <x:f>IF(A223="","",IF(OR(L223="B",L223="AB"),"yes","no"))</x:f>
      </x:c>
      <x:c r="O223" s="32" t="str">
        <x:f>IF(A223="","",IF(OR(C223="",D223="",E223="",F223="",G223="",H223="",I223="",J223=""),"INCOMPLETE","READY"))</x:f>
      </x:c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32" t="str">
        <x:f>IF(A224="","",IF(OR(E224="L1",F224="medium",F224="high",G224="yes",H224="yes",I224="yes",J224="yes"),"higher","lower"))</x:f>
      </x:c>
      <x:c r="L224" s="32" t="str">
        <x:f>IF(A224="","",IF(K224="higher","AB",IF(D224="","NEEDS_ORDER",IF(MOD(D224,5)=0,"AB",IF(MOD(D224,2)=0,"A","B")))))</x:f>
      </x:c>
      <x:c r="M224" s="32" t="str">
        <x:f>IF(A224="","",IF(OR(L224="A",L224="AB"),"yes","no"))</x:f>
      </x:c>
      <x:c r="N224" s="32" t="str">
        <x:f>IF(A224="","",IF(OR(L224="B",L224="AB"),"yes","no"))</x:f>
      </x:c>
      <x:c r="O224" s="32" t="str">
        <x:f>IF(A224="","",IF(OR(C224="",D224="",E224="",F224="",G224="",H224="",I224="",J224=""),"INCOMPLETE","READY"))</x:f>
      </x:c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32" t="str">
        <x:f>IF(A225="","",IF(OR(E225="L1",F225="medium",F225="high",G225="yes",H225="yes",I225="yes",J225="yes"),"higher","lower"))</x:f>
      </x:c>
      <x:c r="L225" s="32" t="str">
        <x:f>IF(A225="","",IF(K225="higher","AB",IF(D225="","NEEDS_ORDER",IF(MOD(D225,5)=0,"AB",IF(MOD(D225,2)=0,"A","B")))))</x:f>
      </x:c>
      <x:c r="M225" s="32" t="str">
        <x:f>IF(A225="","",IF(OR(L225="A",L225="AB"),"yes","no"))</x:f>
      </x:c>
      <x:c r="N225" s="32" t="str">
        <x:f>IF(A225="","",IF(OR(L225="B",L225="AB"),"yes","no"))</x:f>
      </x:c>
      <x:c r="O225" s="32" t="str">
        <x:f>IF(A225="","",IF(OR(C225="",D225="",E225="",F225="",G225="",H225="",I225="",J225=""),"INCOMPLETE","READY"))</x:f>
      </x:c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32" t="str">
        <x:f>IF(A226="","",IF(OR(E226="L1",F226="medium",F226="high",G226="yes",H226="yes",I226="yes",J226="yes"),"higher","lower"))</x:f>
      </x:c>
      <x:c r="L226" s="32" t="str">
        <x:f>IF(A226="","",IF(K226="higher","AB",IF(D226="","NEEDS_ORDER",IF(MOD(D226,5)=0,"AB",IF(MOD(D226,2)=0,"A","B")))))</x:f>
      </x:c>
      <x:c r="M226" s="32" t="str">
        <x:f>IF(A226="","",IF(OR(L226="A",L226="AB"),"yes","no"))</x:f>
      </x:c>
      <x:c r="N226" s="32" t="str">
        <x:f>IF(A226="","",IF(OR(L226="B",L226="AB"),"yes","no"))</x:f>
      </x:c>
      <x:c r="O226" s="32" t="str">
        <x:f>IF(A226="","",IF(OR(C226="",D226="",E226="",F226="",G226="",H226="",I226="",J226=""),"INCOMPLETE","READY"))</x:f>
      </x:c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32" t="str">
        <x:f>IF(A227="","",IF(OR(E227="L1",F227="medium",F227="high",G227="yes",H227="yes",I227="yes",J227="yes"),"higher","lower"))</x:f>
      </x:c>
      <x:c r="L227" s="32" t="str">
        <x:f>IF(A227="","",IF(K227="higher","AB",IF(D227="","NEEDS_ORDER",IF(MOD(D227,5)=0,"AB",IF(MOD(D227,2)=0,"A","B")))))</x:f>
      </x:c>
      <x:c r="M227" s="32" t="str">
        <x:f>IF(A227="","",IF(OR(L227="A",L227="AB"),"yes","no"))</x:f>
      </x:c>
      <x:c r="N227" s="32" t="str">
        <x:f>IF(A227="","",IF(OR(L227="B",L227="AB"),"yes","no"))</x:f>
      </x:c>
      <x:c r="O227" s="32" t="str">
        <x:f>IF(A227="","",IF(OR(C227="",D227="",E227="",F227="",G227="",H227="",I227="",J227=""),"INCOMPLETE","READY"))</x:f>
      </x:c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32" t="str">
        <x:f>IF(A228="","",IF(OR(E228="L1",F228="medium",F228="high",G228="yes",H228="yes",I228="yes",J228="yes"),"higher","lower"))</x:f>
      </x:c>
      <x:c r="L228" s="32" t="str">
        <x:f>IF(A228="","",IF(K228="higher","AB",IF(D228="","NEEDS_ORDER",IF(MOD(D228,5)=0,"AB",IF(MOD(D228,2)=0,"A","B")))))</x:f>
      </x:c>
      <x:c r="M228" s="32" t="str">
        <x:f>IF(A228="","",IF(OR(L228="A",L228="AB"),"yes","no"))</x:f>
      </x:c>
      <x:c r="N228" s="32" t="str">
        <x:f>IF(A228="","",IF(OR(L228="B",L228="AB"),"yes","no"))</x:f>
      </x:c>
      <x:c r="O228" s="32" t="str">
        <x:f>IF(A228="","",IF(OR(C228="",D228="",E228="",F228="",G228="",H228="",I228="",J228=""),"INCOMPLETE","READY"))</x:f>
      </x:c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32" t="str">
        <x:f>IF(A229="","",IF(OR(E229="L1",F229="medium",F229="high",G229="yes",H229="yes",I229="yes",J229="yes"),"higher","lower"))</x:f>
      </x:c>
      <x:c r="L229" s="32" t="str">
        <x:f>IF(A229="","",IF(K229="higher","AB",IF(D229="","NEEDS_ORDER",IF(MOD(D229,5)=0,"AB",IF(MOD(D229,2)=0,"A","B")))))</x:f>
      </x:c>
      <x:c r="M229" s="32" t="str">
        <x:f>IF(A229="","",IF(OR(L229="A",L229="AB"),"yes","no"))</x:f>
      </x:c>
      <x:c r="N229" s="32" t="str">
        <x:f>IF(A229="","",IF(OR(L229="B",L229="AB"),"yes","no"))</x:f>
      </x:c>
      <x:c r="O229" s="32" t="str">
        <x:f>IF(A229="","",IF(OR(C229="",D229="",E229="",F229="",G229="",H229="",I229="",J229=""),"INCOMPLETE","READY"))</x:f>
      </x:c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32" t="str">
        <x:f>IF(A230="","",IF(OR(E230="L1",F230="medium",F230="high",G230="yes",H230="yes",I230="yes",J230="yes"),"higher","lower"))</x:f>
      </x:c>
      <x:c r="L230" s="32" t="str">
        <x:f>IF(A230="","",IF(K230="higher","AB",IF(D230="","NEEDS_ORDER",IF(MOD(D230,5)=0,"AB",IF(MOD(D230,2)=0,"A","B")))))</x:f>
      </x:c>
      <x:c r="M230" s="32" t="str">
        <x:f>IF(A230="","",IF(OR(L230="A",L230="AB"),"yes","no"))</x:f>
      </x:c>
      <x:c r="N230" s="32" t="str">
        <x:f>IF(A230="","",IF(OR(L230="B",L230="AB"),"yes","no"))</x:f>
      </x:c>
      <x:c r="O230" s="32" t="str">
        <x:f>IF(A230="","",IF(OR(C230="",D230="",E230="",F230="",G230="",H230="",I230="",J230=""),"INCOMPLETE","READY"))</x:f>
      </x:c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32" t="str">
        <x:f>IF(A231="","",IF(OR(E231="L1",F231="medium",F231="high",G231="yes",H231="yes",I231="yes",J231="yes"),"higher","lower"))</x:f>
      </x:c>
      <x:c r="L231" s="32" t="str">
        <x:f>IF(A231="","",IF(K231="higher","AB",IF(D231="","NEEDS_ORDER",IF(MOD(D231,5)=0,"AB",IF(MOD(D231,2)=0,"A","B")))))</x:f>
      </x:c>
      <x:c r="M231" s="32" t="str">
        <x:f>IF(A231="","",IF(OR(L231="A",L231="AB"),"yes","no"))</x:f>
      </x:c>
      <x:c r="N231" s="32" t="str">
        <x:f>IF(A231="","",IF(OR(L231="B",L231="AB"),"yes","no"))</x:f>
      </x:c>
      <x:c r="O231" s="32" t="str">
        <x:f>IF(A231="","",IF(OR(C231="",D231="",E231="",F231="",G231="",H231="",I231="",J231=""),"INCOMPLETE","READY"))</x:f>
      </x:c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32" t="str">
        <x:f>IF(A232="","",IF(OR(E232="L1",F232="medium",F232="high",G232="yes",H232="yes",I232="yes",J232="yes"),"higher","lower"))</x:f>
      </x:c>
      <x:c r="L232" s="32" t="str">
        <x:f>IF(A232="","",IF(K232="higher","AB",IF(D232="","NEEDS_ORDER",IF(MOD(D232,5)=0,"AB",IF(MOD(D232,2)=0,"A","B")))))</x:f>
      </x:c>
      <x:c r="M232" s="32" t="str">
        <x:f>IF(A232="","",IF(OR(L232="A",L232="AB"),"yes","no"))</x:f>
      </x:c>
      <x:c r="N232" s="32" t="str">
        <x:f>IF(A232="","",IF(OR(L232="B",L232="AB"),"yes","no"))</x:f>
      </x:c>
      <x:c r="O232" s="32" t="str">
        <x:f>IF(A232="","",IF(OR(C232="",D232="",E232="",F232="",G232="",H232="",I232="",J232=""),"INCOMPLETE","READY"))</x:f>
      </x:c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32" t="str">
        <x:f>IF(A233="","",IF(OR(E233="L1",F233="medium",F233="high",G233="yes",H233="yes",I233="yes",J233="yes"),"higher","lower"))</x:f>
      </x:c>
      <x:c r="L233" s="32" t="str">
        <x:f>IF(A233="","",IF(K233="higher","AB",IF(D233="","NEEDS_ORDER",IF(MOD(D233,5)=0,"AB",IF(MOD(D233,2)=0,"A","B")))))</x:f>
      </x:c>
      <x:c r="M233" s="32" t="str">
        <x:f>IF(A233="","",IF(OR(L233="A",L233="AB"),"yes","no"))</x:f>
      </x:c>
      <x:c r="N233" s="32" t="str">
        <x:f>IF(A233="","",IF(OR(L233="B",L233="AB"),"yes","no"))</x:f>
      </x:c>
      <x:c r="O233" s="32" t="str">
        <x:f>IF(A233="","",IF(OR(C233="",D233="",E233="",F233="",G233="",H233="",I233="",J233=""),"INCOMPLETE","READY"))</x:f>
      </x:c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32" t="str">
        <x:f>IF(A234="","",IF(OR(E234="L1",F234="medium",F234="high",G234="yes",H234="yes",I234="yes",J234="yes"),"higher","lower"))</x:f>
      </x:c>
      <x:c r="L234" s="32" t="str">
        <x:f>IF(A234="","",IF(K234="higher","AB",IF(D234="","NEEDS_ORDER",IF(MOD(D234,5)=0,"AB",IF(MOD(D234,2)=0,"A","B")))))</x:f>
      </x:c>
      <x:c r="M234" s="32" t="str">
        <x:f>IF(A234="","",IF(OR(L234="A",L234="AB"),"yes","no"))</x:f>
      </x:c>
      <x:c r="N234" s="32" t="str">
        <x:f>IF(A234="","",IF(OR(L234="B",L234="AB"),"yes","no"))</x:f>
      </x:c>
      <x:c r="O234" s="32" t="str">
        <x:f>IF(A234="","",IF(OR(C234="",D234="",E234="",F234="",G234="",H234="",I234="",J234=""),"INCOMPLETE","READY"))</x:f>
      </x:c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32" t="str">
        <x:f>IF(A235="","",IF(OR(E235="L1",F235="medium",F235="high",G235="yes",H235="yes",I235="yes",J235="yes"),"higher","lower"))</x:f>
      </x:c>
      <x:c r="L235" s="32" t="str">
        <x:f>IF(A235="","",IF(K235="higher","AB",IF(D235="","NEEDS_ORDER",IF(MOD(D235,5)=0,"AB",IF(MOD(D235,2)=0,"A","B")))))</x:f>
      </x:c>
      <x:c r="M235" s="32" t="str">
        <x:f>IF(A235="","",IF(OR(L235="A",L235="AB"),"yes","no"))</x:f>
      </x:c>
      <x:c r="N235" s="32" t="str">
        <x:f>IF(A235="","",IF(OR(L235="B",L235="AB"),"yes","no"))</x:f>
      </x:c>
      <x:c r="O235" s="32" t="str">
        <x:f>IF(A235="","",IF(OR(C235="",D235="",E235="",F235="",G235="",H235="",I235="",J235=""),"INCOMPLETE","READY"))</x:f>
      </x:c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32" t="str">
        <x:f>IF(A236="","",IF(OR(E236="L1",F236="medium",F236="high",G236="yes",H236="yes",I236="yes",J236="yes"),"higher","lower"))</x:f>
      </x:c>
      <x:c r="L236" s="32" t="str">
        <x:f>IF(A236="","",IF(K236="higher","AB",IF(D236="","NEEDS_ORDER",IF(MOD(D236,5)=0,"AB",IF(MOD(D236,2)=0,"A","B")))))</x:f>
      </x:c>
      <x:c r="M236" s="32" t="str">
        <x:f>IF(A236="","",IF(OR(L236="A",L236="AB"),"yes","no"))</x:f>
      </x:c>
      <x:c r="N236" s="32" t="str">
        <x:f>IF(A236="","",IF(OR(L236="B",L236="AB"),"yes","no"))</x:f>
      </x:c>
      <x:c r="O236" s="32" t="str">
        <x:f>IF(A236="","",IF(OR(C236="",D236="",E236="",F236="",G236="",H236="",I236="",J236=""),"INCOMPLETE","READY"))</x:f>
      </x:c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32" t="str">
        <x:f>IF(A237="","",IF(OR(E237="L1",F237="medium",F237="high",G237="yes",H237="yes",I237="yes",J237="yes"),"higher","lower"))</x:f>
      </x:c>
      <x:c r="L237" s="32" t="str">
        <x:f>IF(A237="","",IF(K237="higher","AB",IF(D237="","NEEDS_ORDER",IF(MOD(D237,5)=0,"AB",IF(MOD(D237,2)=0,"A","B")))))</x:f>
      </x:c>
      <x:c r="M237" s="32" t="str">
        <x:f>IF(A237="","",IF(OR(L237="A",L237="AB"),"yes","no"))</x:f>
      </x:c>
      <x:c r="N237" s="32" t="str">
        <x:f>IF(A237="","",IF(OR(L237="B",L237="AB"),"yes","no"))</x:f>
      </x:c>
      <x:c r="O237" s="32" t="str">
        <x:f>IF(A237="","",IF(OR(C237="",D237="",E237="",F237="",G237="",H237="",I237="",J237=""),"INCOMPLETE","READY"))</x:f>
      </x:c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32" t="str">
        <x:f>IF(A238="","",IF(OR(E238="L1",F238="medium",F238="high",G238="yes",H238="yes",I238="yes",J238="yes"),"higher","lower"))</x:f>
      </x:c>
      <x:c r="L238" s="32" t="str">
        <x:f>IF(A238="","",IF(K238="higher","AB",IF(D238="","NEEDS_ORDER",IF(MOD(D238,5)=0,"AB",IF(MOD(D238,2)=0,"A","B")))))</x:f>
      </x:c>
      <x:c r="M238" s="32" t="str">
        <x:f>IF(A238="","",IF(OR(L238="A",L238="AB"),"yes","no"))</x:f>
      </x:c>
      <x:c r="N238" s="32" t="str">
        <x:f>IF(A238="","",IF(OR(L238="B",L238="AB"),"yes","no"))</x:f>
      </x:c>
      <x:c r="O238" s="32" t="str">
        <x:f>IF(A238="","",IF(OR(C238="",D238="",E238="",F238="",G238="",H238="",I238="",J238=""),"INCOMPLETE","READY"))</x:f>
      </x:c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32" t="str">
        <x:f>IF(A239="","",IF(OR(E239="L1",F239="medium",F239="high",G239="yes",H239="yes",I239="yes",J239="yes"),"higher","lower"))</x:f>
      </x:c>
      <x:c r="L239" s="32" t="str">
        <x:f>IF(A239="","",IF(K239="higher","AB",IF(D239="","NEEDS_ORDER",IF(MOD(D239,5)=0,"AB",IF(MOD(D239,2)=0,"A","B")))))</x:f>
      </x:c>
      <x:c r="M239" s="32" t="str">
        <x:f>IF(A239="","",IF(OR(L239="A",L239="AB"),"yes","no"))</x:f>
      </x:c>
      <x:c r="N239" s="32" t="str">
        <x:f>IF(A239="","",IF(OR(L239="B",L239="AB"),"yes","no"))</x:f>
      </x:c>
      <x:c r="O239" s="32" t="str">
        <x:f>IF(A239="","",IF(OR(C239="",D239="",E239="",F239="",G239="",H239="",I239="",J239=""),"INCOMPLETE","READY"))</x:f>
      </x:c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32" t="str">
        <x:f>IF(A240="","",IF(OR(E240="L1",F240="medium",F240="high",G240="yes",H240="yes",I240="yes",J240="yes"),"higher","lower"))</x:f>
      </x:c>
      <x:c r="L240" s="32" t="str">
        <x:f>IF(A240="","",IF(K240="higher","AB",IF(D240="","NEEDS_ORDER",IF(MOD(D240,5)=0,"AB",IF(MOD(D240,2)=0,"A","B")))))</x:f>
      </x:c>
      <x:c r="M240" s="32" t="str">
        <x:f>IF(A240="","",IF(OR(L240="A",L240="AB"),"yes","no"))</x:f>
      </x:c>
      <x:c r="N240" s="32" t="str">
        <x:f>IF(A240="","",IF(OR(L240="B",L240="AB"),"yes","no"))</x:f>
      </x:c>
      <x:c r="O240" s="32" t="str">
        <x:f>IF(A240="","",IF(OR(C240="",D240="",E240="",F240="",G240="",H240="",I240="",J240=""),"INCOMPLETE","READY"))</x:f>
      </x:c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32" t="str">
        <x:f>IF(A241="","",IF(OR(E241="L1",F241="medium",F241="high",G241="yes",H241="yes",I241="yes",J241="yes"),"higher","lower"))</x:f>
      </x:c>
      <x:c r="L241" s="32" t="str">
        <x:f>IF(A241="","",IF(K241="higher","AB",IF(D241="","NEEDS_ORDER",IF(MOD(D241,5)=0,"AB",IF(MOD(D241,2)=0,"A","B")))))</x:f>
      </x:c>
      <x:c r="M241" s="32" t="str">
        <x:f>IF(A241="","",IF(OR(L241="A",L241="AB"),"yes","no"))</x:f>
      </x:c>
      <x:c r="N241" s="32" t="str">
        <x:f>IF(A241="","",IF(OR(L241="B",L241="AB"),"yes","no"))</x:f>
      </x:c>
      <x:c r="O241" s="32" t="str">
        <x:f>IF(A241="","",IF(OR(C241="",D241="",E241="",F241="",G241="",H241="",I241="",J241=""),"INCOMPLETE","READY"))</x:f>
      </x:c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32" t="str">
        <x:f>IF(A242="","",IF(OR(E242="L1",F242="medium",F242="high",G242="yes",H242="yes",I242="yes",J242="yes"),"higher","lower"))</x:f>
      </x:c>
      <x:c r="L242" s="32" t="str">
        <x:f>IF(A242="","",IF(K242="higher","AB",IF(D242="","NEEDS_ORDER",IF(MOD(D242,5)=0,"AB",IF(MOD(D242,2)=0,"A","B")))))</x:f>
      </x:c>
      <x:c r="M242" s="32" t="str">
        <x:f>IF(A242="","",IF(OR(L242="A",L242="AB"),"yes","no"))</x:f>
      </x:c>
      <x:c r="N242" s="32" t="str">
        <x:f>IF(A242="","",IF(OR(L242="B",L242="AB"),"yes","no"))</x:f>
      </x:c>
      <x:c r="O242" s="32" t="str">
        <x:f>IF(A242="","",IF(OR(C242="",D242="",E242="",F242="",G242="",H242="",I242="",J242=""),"INCOMPLETE","READY"))</x:f>
      </x:c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32" t="str">
        <x:f>IF(A243="","",IF(OR(E243="L1",F243="medium",F243="high",G243="yes",H243="yes",I243="yes",J243="yes"),"higher","lower"))</x:f>
      </x:c>
      <x:c r="L243" s="32" t="str">
        <x:f>IF(A243="","",IF(K243="higher","AB",IF(D243="","NEEDS_ORDER",IF(MOD(D243,5)=0,"AB",IF(MOD(D243,2)=0,"A","B")))))</x:f>
      </x:c>
      <x:c r="M243" s="32" t="str">
        <x:f>IF(A243="","",IF(OR(L243="A",L243="AB"),"yes","no"))</x:f>
      </x:c>
      <x:c r="N243" s="32" t="str">
        <x:f>IF(A243="","",IF(OR(L243="B",L243="AB"),"yes","no"))</x:f>
      </x:c>
      <x:c r="O243" s="32" t="str">
        <x:f>IF(A243="","",IF(OR(C243="",D243="",E243="",F243="",G243="",H243="",I243="",J243=""),"INCOMPLETE","READY"))</x:f>
      </x:c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32" t="str">
        <x:f>IF(A244="","",IF(OR(E244="L1",F244="medium",F244="high",G244="yes",H244="yes",I244="yes",J244="yes"),"higher","lower"))</x:f>
      </x:c>
      <x:c r="L244" s="32" t="str">
        <x:f>IF(A244="","",IF(K244="higher","AB",IF(D244="","NEEDS_ORDER",IF(MOD(D244,5)=0,"AB",IF(MOD(D244,2)=0,"A","B")))))</x:f>
      </x:c>
      <x:c r="M244" s="32" t="str">
        <x:f>IF(A244="","",IF(OR(L244="A",L244="AB"),"yes","no"))</x:f>
      </x:c>
      <x:c r="N244" s="32" t="str">
        <x:f>IF(A244="","",IF(OR(L244="B",L244="AB"),"yes","no"))</x:f>
      </x:c>
      <x:c r="O244" s="32" t="str">
        <x:f>IF(A244="","",IF(OR(C244="",D244="",E244="",F244="",G244="",H244="",I244="",J244=""),"INCOMPLETE","READY"))</x:f>
      </x:c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32" t="str">
        <x:f>IF(A245="","",IF(OR(E245="L1",F245="medium",F245="high",G245="yes",H245="yes",I245="yes",J245="yes"),"higher","lower"))</x:f>
      </x:c>
      <x:c r="L245" s="32" t="str">
        <x:f>IF(A245="","",IF(K245="higher","AB",IF(D245="","NEEDS_ORDER",IF(MOD(D245,5)=0,"AB",IF(MOD(D245,2)=0,"A","B")))))</x:f>
      </x:c>
      <x:c r="M245" s="32" t="str">
        <x:f>IF(A245="","",IF(OR(L245="A",L245="AB"),"yes","no"))</x:f>
      </x:c>
      <x:c r="N245" s="32" t="str">
        <x:f>IF(A245="","",IF(OR(L245="B",L245="AB"),"yes","no"))</x:f>
      </x:c>
      <x:c r="O245" s="32" t="str">
        <x:f>IF(A245="","",IF(OR(C245="",D245="",E245="",F245="",G245="",H245="",I245="",J245=""),"INCOMPLETE","READY"))</x:f>
      </x:c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32" t="str">
        <x:f>IF(A246="","",IF(OR(E246="L1",F246="medium",F246="high",G246="yes",H246="yes",I246="yes",J246="yes"),"higher","lower"))</x:f>
      </x:c>
      <x:c r="L246" s="32" t="str">
        <x:f>IF(A246="","",IF(K246="higher","AB",IF(D246="","NEEDS_ORDER",IF(MOD(D246,5)=0,"AB",IF(MOD(D246,2)=0,"A","B")))))</x:f>
      </x:c>
      <x:c r="M246" s="32" t="str">
        <x:f>IF(A246="","",IF(OR(L246="A",L246="AB"),"yes","no"))</x:f>
      </x:c>
      <x:c r="N246" s="32" t="str">
        <x:f>IF(A246="","",IF(OR(L246="B",L246="AB"),"yes","no"))</x:f>
      </x:c>
      <x:c r="O246" s="32" t="str">
        <x:f>IF(A246="","",IF(OR(C246="",D246="",E246="",F246="",G246="",H246="",I246="",J246=""),"INCOMPLETE","READY"))</x:f>
      </x:c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32" t="str">
        <x:f>IF(A247="","",IF(OR(E247="L1",F247="medium",F247="high",G247="yes",H247="yes",I247="yes",J247="yes"),"higher","lower"))</x:f>
      </x:c>
      <x:c r="L247" s="32" t="str">
        <x:f>IF(A247="","",IF(K247="higher","AB",IF(D247="","NEEDS_ORDER",IF(MOD(D247,5)=0,"AB",IF(MOD(D247,2)=0,"A","B")))))</x:f>
      </x:c>
      <x:c r="M247" s="32" t="str">
        <x:f>IF(A247="","",IF(OR(L247="A",L247="AB"),"yes","no"))</x:f>
      </x:c>
      <x:c r="N247" s="32" t="str">
        <x:f>IF(A247="","",IF(OR(L247="B",L247="AB"),"yes","no"))</x:f>
      </x:c>
      <x:c r="O247" s="32" t="str">
        <x:f>IF(A247="","",IF(OR(C247="",D247="",E247="",F247="",G247="",H247="",I247="",J247=""),"INCOMPLETE","READY"))</x:f>
      </x:c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32" t="str">
        <x:f>IF(A248="","",IF(OR(E248="L1",F248="medium",F248="high",G248="yes",H248="yes",I248="yes",J248="yes"),"higher","lower"))</x:f>
      </x:c>
      <x:c r="L248" s="32" t="str">
        <x:f>IF(A248="","",IF(K248="higher","AB",IF(D248="","NEEDS_ORDER",IF(MOD(D248,5)=0,"AB",IF(MOD(D248,2)=0,"A","B")))))</x:f>
      </x:c>
      <x:c r="M248" s="32" t="str">
        <x:f>IF(A248="","",IF(OR(L248="A",L248="AB"),"yes","no"))</x:f>
      </x:c>
      <x:c r="N248" s="32" t="str">
        <x:f>IF(A248="","",IF(OR(L248="B",L248="AB"),"yes","no"))</x:f>
      </x:c>
      <x:c r="O248" s="32" t="str">
        <x:f>IF(A248="","",IF(OR(C248="",D248="",E248="",F248="",G248="",H248="",I248="",J248=""),"INCOMPLETE","READY"))</x:f>
      </x:c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32" t="str">
        <x:f>IF(A249="","",IF(OR(E249="L1",F249="medium",F249="high",G249="yes",H249="yes",I249="yes",J249="yes"),"higher","lower"))</x:f>
      </x:c>
      <x:c r="L249" s="32" t="str">
        <x:f>IF(A249="","",IF(K249="higher","AB",IF(D249="","NEEDS_ORDER",IF(MOD(D249,5)=0,"AB",IF(MOD(D249,2)=0,"A","B")))))</x:f>
      </x:c>
      <x:c r="M249" s="32" t="str">
        <x:f>IF(A249="","",IF(OR(L249="A",L249="AB"),"yes","no"))</x:f>
      </x:c>
      <x:c r="N249" s="32" t="str">
        <x:f>IF(A249="","",IF(OR(L249="B",L249="AB"),"yes","no"))</x:f>
      </x:c>
      <x:c r="O249" s="32" t="str">
        <x:f>IF(A249="","",IF(OR(C249="",D249="",E249="",F249="",G249="",H249="",I249="",J249=""),"INCOMPLETE","READY"))</x:f>
      </x:c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32" t="str">
        <x:f>IF(A250="","",IF(OR(E250="L1",F250="medium",F250="high",G250="yes",H250="yes",I250="yes",J250="yes"),"higher","lower"))</x:f>
      </x:c>
      <x:c r="L250" s="32" t="str">
        <x:f>IF(A250="","",IF(K250="higher","AB",IF(D250="","NEEDS_ORDER",IF(MOD(D250,5)=0,"AB",IF(MOD(D250,2)=0,"A","B")))))</x:f>
      </x:c>
      <x:c r="M250" s="32" t="str">
        <x:f>IF(A250="","",IF(OR(L250="A",L250="AB"),"yes","no"))</x:f>
      </x:c>
      <x:c r="N250" s="32" t="str">
        <x:f>IF(A250="","",IF(OR(L250="B",L250="AB"),"yes","no"))</x:f>
      </x:c>
      <x:c r="O250" s="32" t="str">
        <x:f>IF(A250="","",IF(OR(C250="",D250="",E250="",F250="",G250="",H250="",I250="",J250=""),"INCOMPLETE","READY"))</x:f>
      </x:c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32" t="str">
        <x:f>IF(A251="","",IF(OR(E251="L1",F251="medium",F251="high",G251="yes",H251="yes",I251="yes",J251="yes"),"higher","lower"))</x:f>
      </x:c>
      <x:c r="L251" s="32" t="str">
        <x:f>IF(A251="","",IF(K251="higher","AB",IF(D251="","NEEDS_ORDER",IF(MOD(D251,5)=0,"AB",IF(MOD(D251,2)=0,"A","B")))))</x:f>
      </x:c>
      <x:c r="M251" s="32" t="str">
        <x:f>IF(A251="","",IF(OR(L251="A",L251="AB"),"yes","no"))</x:f>
      </x:c>
      <x:c r="N251" s="32" t="str">
        <x:f>IF(A251="","",IF(OR(L251="B",L251="AB"),"yes","no"))</x:f>
      </x:c>
      <x:c r="O251" s="32" t="str">
        <x:f>IF(A251="","",IF(OR(C251="",D251="",E251="",F251="",G251="",H251="",I251="",J251=""),"INCOMPLETE","READY"))</x:f>
      </x:c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32" t="str">
        <x:f>IF(A252="","",IF(OR(E252="L1",F252="medium",F252="high",G252="yes",H252="yes",I252="yes",J252="yes"),"higher","lower"))</x:f>
      </x:c>
      <x:c r="L252" s="32" t="str">
        <x:f>IF(A252="","",IF(K252="higher","AB",IF(D252="","NEEDS_ORDER",IF(MOD(D252,5)=0,"AB",IF(MOD(D252,2)=0,"A","B")))))</x:f>
      </x:c>
      <x:c r="M252" s="32" t="str">
        <x:f>IF(A252="","",IF(OR(L252="A",L252="AB"),"yes","no"))</x:f>
      </x:c>
      <x:c r="N252" s="32" t="str">
        <x:f>IF(A252="","",IF(OR(L252="B",L252="AB"),"yes","no"))</x:f>
      </x:c>
      <x:c r="O252" s="32" t="str">
        <x:f>IF(A252="","",IF(OR(C252="",D252="",E252="",F252="",G252="",H252="",I252="",J252=""),"INCOMPLETE","READY"))</x:f>
      </x:c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32" t="str">
        <x:f>IF(A253="","",IF(OR(E253="L1",F253="medium",F253="high",G253="yes",H253="yes",I253="yes",J253="yes"),"higher","lower"))</x:f>
      </x:c>
      <x:c r="L253" s="32" t="str">
        <x:f>IF(A253="","",IF(K253="higher","AB",IF(D253="","NEEDS_ORDER",IF(MOD(D253,5)=0,"AB",IF(MOD(D253,2)=0,"A","B")))))</x:f>
      </x:c>
      <x:c r="M253" s="32" t="str">
        <x:f>IF(A253="","",IF(OR(L253="A",L253="AB"),"yes","no"))</x:f>
      </x:c>
      <x:c r="N253" s="32" t="str">
        <x:f>IF(A253="","",IF(OR(L253="B",L253="AB"),"yes","no"))</x:f>
      </x:c>
      <x:c r="O253" s="32" t="str">
        <x:f>IF(A253="","",IF(OR(C253="",D253="",E253="",F253="",G253="",H253="",I253="",J253=""),"INCOMPLETE","READY"))</x:f>
      </x:c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32" t="str">
        <x:f>IF(A254="","",IF(OR(E254="L1",F254="medium",F254="high",G254="yes",H254="yes",I254="yes",J254="yes"),"higher","lower"))</x:f>
      </x:c>
      <x:c r="L254" s="32" t="str">
        <x:f>IF(A254="","",IF(K254="higher","AB",IF(D254="","NEEDS_ORDER",IF(MOD(D254,5)=0,"AB",IF(MOD(D254,2)=0,"A","B")))))</x:f>
      </x:c>
      <x:c r="M254" s="32" t="str">
        <x:f>IF(A254="","",IF(OR(L254="A",L254="AB"),"yes","no"))</x:f>
      </x:c>
      <x:c r="N254" s="32" t="str">
        <x:f>IF(A254="","",IF(OR(L254="B",L254="AB"),"yes","no"))</x:f>
      </x:c>
      <x:c r="O254" s="32" t="str">
        <x:f>IF(A254="","",IF(OR(C254="",D254="",E254="",F254="",G254="",H254="",I254="",J254=""),"INCOMPLETE","READY"))</x:f>
      </x:c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32" t="str">
        <x:f>IF(A255="","",IF(OR(E255="L1",F255="medium",F255="high",G255="yes",H255="yes",I255="yes",J255="yes"),"higher","lower"))</x:f>
      </x:c>
      <x:c r="L255" s="32" t="str">
        <x:f>IF(A255="","",IF(K255="higher","AB",IF(D255="","NEEDS_ORDER",IF(MOD(D255,5)=0,"AB",IF(MOD(D255,2)=0,"A","B")))))</x:f>
      </x:c>
      <x:c r="M255" s="32" t="str">
        <x:f>IF(A255="","",IF(OR(L255="A",L255="AB"),"yes","no"))</x:f>
      </x:c>
      <x:c r="N255" s="32" t="str">
        <x:f>IF(A255="","",IF(OR(L255="B",L255="AB"),"yes","no"))</x:f>
      </x:c>
      <x:c r="O255" s="32" t="str">
        <x:f>IF(A255="","",IF(OR(C255="",D255="",E255="",F255="",G255="",H255="",I255="",J255=""),"INCOMPLETE","READY"))</x:f>
      </x:c>
    </x:row>
  </x:sheetData>
  <x:mergeCells>
    <x:mergeCell ref="A1:O1"/>
    <x:mergeCell ref="B2:O2"/>
    <x:mergeCell ref="B3:O3"/>
  </x:mergeCells>
  <x:dataValidations count="7">
    <x:dataValidation type="whole" operator="between" sqref="D6:D255">
      <x:formula1>1</x:formula1>
      <x:formula2>999</x:formula2>
    </x:dataValidation>
    <x:dataValidation type="list" sqref="E6:E255">
      <x:formula1>"L0,L1"</x:formula1>
    </x:dataValidation>
    <x:dataValidation type="list" sqref="F6:F255">
      <x:formula1>"low,medium,high"</x:formula1>
    </x:dataValidation>
    <x:dataValidation type="list" sqref="G6:G255">
      <x:formula1>"yes,no"</x:formula1>
    </x:dataValidation>
    <x:dataValidation type="list" sqref="H6:H255">
      <x:formula1>"yes,no"</x:formula1>
    </x:dataValidation>
    <x:dataValidation type="list" sqref="I6:I255">
      <x:formula1>"yes,no"</x:formula1>
    </x:dataValidation>
    <x:dataValidation type="list" sqref="J6:J25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945f56c28f41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3.130000114440918" hidden="0" customWidth="1"/>
    <x:col min="3" max="3" width="13.75" hidden="0" customWidth="1"/>
    <x:col min="4" max="4" width="13.130000114440918" hidden="0" customWidth="1"/>
    <x:col min="5" max="5" width="13.75" hidden="0" customWidth="1"/>
    <x:col min="6" max="6" width="13.75" hidden="0" customWidth="1"/>
    <x:col min="7" max="7" width="13.75" hidden="0" customWidth="1"/>
    <x:col min="8" max="8" width="16.8799991607666" hidden="0" customWidth="1"/>
    <x:col min="9" max="9" width="15.630000114440918" hidden="0" customWidth="1"/>
    <x:col min="10" max="10" width="37.5" hidden="0" customWidth="1"/>
    <x:col min="11" max="11" width="20" hidden="0" customWidth="1"/>
    <x:col min="12" max="12" width="35.630001068115234" hidden="0" customWidth="1"/>
    <x:col min="13" max="13" width="37.5" hidden="0" customWidth="1"/>
    <x:col min="14" max="14" width="10" hidden="0" customWidth="1"/>
  </x:cols>
  <x:sheetData>
    <x:row r="1" ht="28.5" customHeight="1">
      <x:c r="A1" s="3" t="str">
        <x:v>Main Benchmark — External Review Log</x:v>
      </x:c>
      <x:c r="B1" s="3" t="str">
        <x:v>Main Benchmark — External Review Log</x:v>
      </x:c>
      <x:c r="C1" s="3" t="str">
        <x:v>Main Benchmark — External Review Log</x:v>
      </x:c>
      <x:c r="D1" s="3" t="str">
        <x:v>Main Benchmark — External Review Log</x:v>
      </x:c>
      <x:c r="E1" s="3" t="str">
        <x:v>Main Benchmark — External Review Log</x:v>
      </x:c>
      <x:c r="F1" s="3" t="str">
        <x:v>Main Benchmark — External Review Log</x:v>
      </x:c>
      <x:c r="G1" s="3" t="str">
        <x:v>Main Benchmark — External Review Log</x:v>
      </x:c>
      <x:c r="H1" s="3" t="str">
        <x:v>Main Benchmark — External Review Log</x:v>
      </x:c>
      <x:c r="I1" s="3" t="str">
        <x:v>Main Benchmark — External Review Log</x:v>
      </x:c>
      <x:c r="J1" s="3" t="str">
        <x:v>Main Benchmark — External Review Log</x:v>
      </x:c>
      <x:c r="K1" s="3" t="str">
        <x:v>Main Benchmark — External Review Log</x:v>
      </x:c>
      <x:c r="L1" s="3" t="str">
        <x:v>Main Benchmark — External Review Log</x:v>
      </x:c>
      <x:c r="M1" s="3" t="str">
        <x:v>Main Benchmark — External Review Log</x:v>
      </x:c>
      <x:c r="N1" s="3" t="str">
        <x:v>Main Benchmark — External Review Log</x:v>
      </x:c>
    </x:row>
    <x:row r="2">
      <x:c r="A2" s="16" t="str">
        <x:v>Use</x:v>
      </x:c>
      <x:c r="B2" s="34" t="str">
        <x:v>One row per reviewer–item judgment. Copy only assigned items from Main_Assignment.</x:v>
      </x:c>
      <x:c r="C2" s="34" t="str"/>
      <x:c r="D2" s="34" t="str"/>
      <x:c r="E2" s="34" t="str"/>
      <x:c r="F2" s="34" t="str"/>
      <x:c r="G2" s="34" t="str"/>
      <x:c r="H2" s="34" t="str"/>
      <x:c r="I2" s="34" t="str"/>
      <x:c r="J2" s="34" t="str"/>
      <x:c r="K2" s="34" t="str"/>
      <x:c r="L2" s="34" t="str"/>
      <x:c r="M2" s="34" t="str"/>
      <x:c r="N2" s="34" t="str"/>
    </x:row>
    <x:row r="3">
      <x:c r="A3" s="16" t="str">
        <x:v>Independence</x:v>
      </x:c>
      <x:c r="B3" s="34" t="str">
        <x:v>Reviewer decisions remain hidden from the other reviewer until the log is locked.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</x:row>
    <x:row r="5" ht="37.5" customHeight="1">
      <x:c r="A5" s="22" t="str">
        <x:v>main_item_id</x:v>
      </x:c>
      <x:c r="B5" s="22" t="str">
        <x:v>assigned_reviewer</x:v>
      </x:c>
      <x:c r="C5" s="22" t="str">
        <x:v>reviewer_code</x:v>
      </x:c>
      <x:c r="D5" s="22" t="str">
        <x:v>review_date</x:v>
      </x:c>
      <x:c r="E5" s="22" t="str">
        <x:v>source_support</x:v>
      </x:c>
      <x:c r="F5" s="22" t="str">
        <x:v>question_clarity</x:v>
      </x:c>
      <x:c r="G5" s="22" t="str">
        <x:v>gold_correctness</x:v>
      </x:c>
      <x:c r="H5" s="22" t="str">
        <x:v>accepted_completeness</x:v>
      </x:c>
      <x:c r="I5" s="22" t="str">
        <x:v>recommended_action</x:v>
      </x:c>
      <x:c r="J5" s="22" t="str">
        <x:v>proposed_question</x:v>
      </x:c>
      <x:c r="K5" s="22" t="str">
        <x:v>proposed_gold</x:v>
      </x:c>
      <x:c r="L5" s="22" t="str">
        <x:v>proposed_accepted_answers</x:v>
      </x:c>
      <x:c r="M5" s="22" t="str">
        <x:v>reviewer_comments</x:v>
      </x:c>
      <x:c r="N5" s="22" t="str">
        <x:v>locked</x:v>
      </x:c>
    </x:row>
    <x:row r="6">
      <x:c r="A6" s="14"/>
      <x:c r="B6" s="14"/>
      <x:c r="C6" s="14"/>
      <x:c r="D6" s="14"/>
      <x:c r="E6" s="26"/>
      <x:c r="F6" s="26"/>
      <x:c r="G6" s="26"/>
      <x:c r="H6" s="26"/>
      <x:c r="I6" s="26"/>
      <x:c r="J6" s="14"/>
      <x:c r="K6" s="14"/>
      <x:c r="L6" s="14"/>
      <x:c r="M6" s="14"/>
      <x:c r="N6" s="14"/>
    </x:row>
    <x:row r="7">
      <x:c r="A7" s="14"/>
      <x:c r="B7" s="14"/>
      <x:c r="C7" s="14"/>
      <x:c r="D7" s="14"/>
      <x:c r="E7" s="26"/>
      <x:c r="F7" s="26"/>
      <x:c r="G7" s="26"/>
      <x:c r="H7" s="26"/>
      <x:c r="I7" s="26"/>
      <x:c r="J7" s="14"/>
      <x:c r="K7" s="14"/>
      <x:c r="L7" s="14"/>
      <x:c r="M7" s="14"/>
      <x:c r="N7" s="14"/>
    </x:row>
    <x:row r="8">
      <x:c r="A8" s="14"/>
      <x:c r="B8" s="14"/>
      <x:c r="C8" s="14"/>
      <x:c r="D8" s="14"/>
      <x:c r="E8" s="26"/>
      <x:c r="F8" s="26"/>
      <x:c r="G8" s="26"/>
      <x:c r="H8" s="26"/>
      <x:c r="I8" s="26"/>
      <x:c r="J8" s="14"/>
      <x:c r="K8" s="14"/>
      <x:c r="L8" s="14"/>
      <x:c r="M8" s="14"/>
      <x:c r="N8" s="14"/>
    </x:row>
    <x:row r="9">
      <x:c r="A9" s="14"/>
      <x:c r="B9" s="14"/>
      <x:c r="C9" s="14"/>
      <x:c r="D9" s="14"/>
      <x:c r="E9" s="26"/>
      <x:c r="F9" s="26"/>
      <x:c r="G9" s="26"/>
      <x:c r="H9" s="26"/>
      <x:c r="I9" s="26"/>
      <x:c r="J9" s="14"/>
      <x:c r="K9" s="14"/>
      <x:c r="L9" s="14"/>
      <x:c r="M9" s="14"/>
      <x:c r="N9" s="14"/>
    </x:row>
    <x:row r="10">
      <x:c r="A10" s="14"/>
      <x:c r="B10" s="14"/>
      <x:c r="C10" s="14"/>
      <x:c r="D10" s="14"/>
      <x:c r="E10" s="26"/>
      <x:c r="F10" s="26"/>
      <x:c r="G10" s="26"/>
      <x:c r="H10" s="26"/>
      <x:c r="I10" s="26"/>
      <x:c r="J10" s="14"/>
      <x:c r="K10" s="14"/>
      <x:c r="L10" s="14"/>
      <x:c r="M10" s="14"/>
      <x:c r="N10" s="14"/>
    </x:row>
    <x:row r="11">
      <x:c r="A11" s="14"/>
      <x:c r="B11" s="14"/>
      <x:c r="C11" s="14"/>
      <x:c r="D11" s="14"/>
      <x:c r="E11" s="26"/>
      <x:c r="F11" s="26"/>
      <x:c r="G11" s="26"/>
      <x:c r="H11" s="26"/>
      <x:c r="I11" s="26"/>
      <x:c r="J11" s="14"/>
      <x:c r="K11" s="14"/>
      <x:c r="L11" s="14"/>
      <x:c r="M11" s="14"/>
      <x:c r="N11" s="14"/>
    </x:row>
    <x:row r="12">
      <x:c r="A12" s="14"/>
      <x:c r="B12" s="14"/>
      <x:c r="C12" s="14"/>
      <x:c r="D12" s="14"/>
      <x:c r="E12" s="26"/>
      <x:c r="F12" s="26"/>
      <x:c r="G12" s="26"/>
      <x:c r="H12" s="26"/>
      <x:c r="I12" s="26"/>
      <x:c r="J12" s="14"/>
      <x:c r="K12" s="14"/>
      <x:c r="L12" s="14"/>
      <x:c r="M12" s="14"/>
      <x:c r="N12" s="14"/>
    </x:row>
    <x:row r="13">
      <x:c r="A13" s="14"/>
      <x:c r="B13" s="14"/>
      <x:c r="C13" s="14"/>
      <x:c r="D13" s="14"/>
      <x:c r="E13" s="26"/>
      <x:c r="F13" s="26"/>
      <x:c r="G13" s="26"/>
      <x:c r="H13" s="26"/>
      <x:c r="I13" s="26"/>
      <x:c r="J13" s="14"/>
      <x:c r="K13" s="14"/>
      <x:c r="L13" s="14"/>
      <x:c r="M13" s="14"/>
      <x:c r="N13" s="14"/>
    </x:row>
    <x:row r="14">
      <x:c r="A14" s="14"/>
      <x:c r="B14" s="14"/>
      <x:c r="C14" s="14"/>
      <x:c r="D14" s="14"/>
      <x:c r="E14" s="26"/>
      <x:c r="F14" s="26"/>
      <x:c r="G14" s="26"/>
      <x:c r="H14" s="26"/>
      <x:c r="I14" s="26"/>
      <x:c r="J14" s="14"/>
      <x:c r="K14" s="14"/>
      <x:c r="L14" s="14"/>
      <x:c r="M14" s="14"/>
      <x:c r="N14" s="14"/>
    </x:row>
    <x:row r="15">
      <x:c r="A15" s="14"/>
      <x:c r="B15" s="14"/>
      <x:c r="C15" s="14"/>
      <x:c r="D15" s="14"/>
      <x:c r="E15" s="26"/>
      <x:c r="F15" s="26"/>
      <x:c r="G15" s="26"/>
      <x:c r="H15" s="26"/>
      <x:c r="I15" s="26"/>
      <x:c r="J15" s="14"/>
      <x:c r="K15" s="14"/>
      <x:c r="L15" s="14"/>
      <x:c r="M15" s="14"/>
      <x:c r="N15" s="14"/>
    </x:row>
    <x:row r="16">
      <x:c r="A16" s="14"/>
      <x:c r="B16" s="14"/>
      <x:c r="C16" s="14"/>
      <x:c r="D16" s="14"/>
      <x:c r="E16" s="26"/>
      <x:c r="F16" s="26"/>
      <x:c r="G16" s="26"/>
      <x:c r="H16" s="26"/>
      <x:c r="I16" s="26"/>
      <x:c r="J16" s="14"/>
      <x:c r="K16" s="14"/>
      <x:c r="L16" s="14"/>
      <x:c r="M16" s="14"/>
      <x:c r="N16" s="14"/>
    </x:row>
    <x:row r="17">
      <x:c r="A17" s="14"/>
      <x:c r="B17" s="14"/>
      <x:c r="C17" s="14"/>
      <x:c r="D17" s="14"/>
      <x:c r="E17" s="26"/>
      <x:c r="F17" s="26"/>
      <x:c r="G17" s="26"/>
      <x:c r="H17" s="26"/>
      <x:c r="I17" s="26"/>
      <x:c r="J17" s="14"/>
      <x:c r="K17" s="14"/>
      <x:c r="L17" s="14"/>
      <x:c r="M17" s="14"/>
      <x:c r="N17" s="14"/>
    </x:row>
    <x:row r="18">
      <x:c r="A18" s="14"/>
      <x:c r="B18" s="14"/>
      <x:c r="C18" s="14"/>
      <x:c r="D18" s="14"/>
      <x:c r="E18" s="26"/>
      <x:c r="F18" s="26"/>
      <x:c r="G18" s="26"/>
      <x:c r="H18" s="26"/>
      <x:c r="I18" s="26"/>
      <x:c r="J18" s="14"/>
      <x:c r="K18" s="14"/>
      <x:c r="L18" s="14"/>
      <x:c r="M18" s="14"/>
      <x:c r="N18" s="14"/>
    </x:row>
    <x:row r="19">
      <x:c r="A19" s="14"/>
      <x:c r="B19" s="14"/>
      <x:c r="C19" s="14"/>
      <x:c r="D19" s="14"/>
      <x:c r="E19" s="26"/>
      <x:c r="F19" s="26"/>
      <x:c r="G19" s="26"/>
      <x:c r="H19" s="26"/>
      <x:c r="I19" s="26"/>
      <x:c r="J19" s="14"/>
      <x:c r="K19" s="14"/>
      <x:c r="L19" s="14"/>
      <x:c r="M19" s="14"/>
      <x:c r="N19" s="14"/>
    </x:row>
    <x:row r="20">
      <x:c r="A20" s="14"/>
      <x:c r="B20" s="14"/>
      <x:c r="C20" s="14"/>
      <x:c r="D20" s="14"/>
      <x:c r="E20" s="26"/>
      <x:c r="F20" s="26"/>
      <x:c r="G20" s="26"/>
      <x:c r="H20" s="26"/>
      <x:c r="I20" s="26"/>
      <x:c r="J20" s="14"/>
      <x:c r="K20" s="14"/>
      <x:c r="L20" s="14"/>
      <x:c r="M20" s="14"/>
      <x:c r="N20" s="14"/>
    </x:row>
    <x:row r="21">
      <x:c r="A21" s="14"/>
      <x:c r="B21" s="14"/>
      <x:c r="C21" s="14"/>
      <x:c r="D21" s="14"/>
      <x:c r="E21" s="26"/>
      <x:c r="F21" s="26"/>
      <x:c r="G21" s="26"/>
      <x:c r="H21" s="26"/>
      <x:c r="I21" s="26"/>
      <x:c r="J21" s="14"/>
      <x:c r="K21" s="14"/>
      <x:c r="L21" s="14"/>
      <x:c r="M21" s="14"/>
      <x:c r="N21" s="14"/>
    </x:row>
    <x:row r="22">
      <x:c r="A22" s="14"/>
      <x:c r="B22" s="14"/>
      <x:c r="C22" s="14"/>
      <x:c r="D22" s="14"/>
      <x:c r="E22" s="26"/>
      <x:c r="F22" s="26"/>
      <x:c r="G22" s="26"/>
      <x:c r="H22" s="26"/>
      <x:c r="I22" s="26"/>
      <x:c r="J22" s="14"/>
      <x:c r="K22" s="14"/>
      <x:c r="L22" s="14"/>
      <x:c r="M22" s="14"/>
      <x:c r="N22" s="14"/>
    </x:row>
    <x:row r="23">
      <x:c r="A23" s="14"/>
      <x:c r="B23" s="14"/>
      <x:c r="C23" s="14"/>
      <x:c r="D23" s="14"/>
      <x:c r="E23" s="26"/>
      <x:c r="F23" s="26"/>
      <x:c r="G23" s="26"/>
      <x:c r="H23" s="26"/>
      <x:c r="I23" s="26"/>
      <x:c r="J23" s="14"/>
      <x:c r="K23" s="14"/>
      <x:c r="L23" s="14"/>
      <x:c r="M23" s="14"/>
      <x:c r="N23" s="14"/>
    </x:row>
    <x:row r="24">
      <x:c r="A24" s="14"/>
      <x:c r="B24" s="14"/>
      <x:c r="C24" s="14"/>
      <x:c r="D24" s="14"/>
      <x:c r="E24" s="26"/>
      <x:c r="F24" s="26"/>
      <x:c r="G24" s="26"/>
      <x:c r="H24" s="26"/>
      <x:c r="I24" s="26"/>
      <x:c r="J24" s="14"/>
      <x:c r="K24" s="14"/>
      <x:c r="L24" s="14"/>
      <x:c r="M24" s="14"/>
      <x:c r="N24" s="14"/>
    </x:row>
    <x:row r="25">
      <x:c r="A25" s="14"/>
      <x:c r="B25" s="14"/>
      <x:c r="C25" s="14"/>
      <x:c r="D25" s="14"/>
      <x:c r="E25" s="26"/>
      <x:c r="F25" s="26"/>
      <x:c r="G25" s="26"/>
      <x:c r="H25" s="26"/>
      <x:c r="I25" s="26"/>
      <x:c r="J25" s="14"/>
      <x:c r="K25" s="14"/>
      <x:c r="L25" s="14"/>
      <x:c r="M25" s="14"/>
      <x:c r="N25" s="14"/>
    </x:row>
    <x:row r="26">
      <x:c r="A26" s="14"/>
      <x:c r="B26" s="14"/>
      <x:c r="C26" s="14"/>
      <x:c r="D26" s="14"/>
      <x:c r="E26" s="26"/>
      <x:c r="F26" s="26"/>
      <x:c r="G26" s="26"/>
      <x:c r="H26" s="26"/>
      <x:c r="I26" s="26"/>
      <x:c r="J26" s="14"/>
      <x:c r="K26" s="14"/>
      <x:c r="L26" s="14"/>
      <x:c r="M26" s="14"/>
      <x:c r="N26" s="14"/>
    </x:row>
    <x:row r="27">
      <x:c r="A27" s="14"/>
      <x:c r="B27" s="14"/>
      <x:c r="C27" s="14"/>
      <x:c r="D27" s="14"/>
      <x:c r="E27" s="26"/>
      <x:c r="F27" s="26"/>
      <x:c r="G27" s="26"/>
      <x:c r="H27" s="26"/>
      <x:c r="I27" s="26"/>
      <x:c r="J27" s="14"/>
      <x:c r="K27" s="14"/>
      <x:c r="L27" s="14"/>
      <x:c r="M27" s="14"/>
      <x:c r="N27" s="14"/>
    </x:row>
    <x:row r="28">
      <x:c r="A28" s="14"/>
      <x:c r="B28" s="14"/>
      <x:c r="C28" s="14"/>
      <x:c r="D28" s="14"/>
      <x:c r="E28" s="26"/>
      <x:c r="F28" s="26"/>
      <x:c r="G28" s="26"/>
      <x:c r="H28" s="26"/>
      <x:c r="I28" s="26"/>
      <x:c r="J28" s="14"/>
      <x:c r="K28" s="14"/>
      <x:c r="L28" s="14"/>
      <x:c r="M28" s="14"/>
      <x:c r="N28" s="14"/>
    </x:row>
    <x:row r="29">
      <x:c r="A29" s="14"/>
      <x:c r="B29" s="14"/>
      <x:c r="C29" s="14"/>
      <x:c r="D29" s="14"/>
      <x:c r="E29" s="26"/>
      <x:c r="F29" s="26"/>
      <x:c r="G29" s="26"/>
      <x:c r="H29" s="26"/>
      <x:c r="I29" s="26"/>
      <x:c r="J29" s="14"/>
      <x:c r="K29" s="14"/>
      <x:c r="L29" s="14"/>
      <x:c r="M29" s="14"/>
      <x:c r="N29" s="14"/>
    </x:row>
    <x:row r="30">
      <x:c r="A30" s="14"/>
      <x:c r="B30" s="14"/>
      <x:c r="C30" s="14"/>
      <x:c r="D30" s="14"/>
      <x:c r="E30" s="26"/>
      <x:c r="F30" s="26"/>
      <x:c r="G30" s="26"/>
      <x:c r="H30" s="26"/>
      <x:c r="I30" s="26"/>
      <x:c r="J30" s="14"/>
      <x:c r="K30" s="14"/>
      <x:c r="L30" s="14"/>
      <x:c r="M30" s="14"/>
      <x:c r="N30" s="14"/>
    </x:row>
    <x:row r="31">
      <x:c r="A31" s="14"/>
      <x:c r="B31" s="14"/>
      <x:c r="C31" s="14"/>
      <x:c r="D31" s="14"/>
      <x:c r="E31" s="26"/>
      <x:c r="F31" s="26"/>
      <x:c r="G31" s="26"/>
      <x:c r="H31" s="26"/>
      <x:c r="I31" s="26"/>
      <x:c r="J31" s="14"/>
      <x:c r="K31" s="14"/>
      <x:c r="L31" s="14"/>
      <x:c r="M31" s="14"/>
      <x:c r="N31" s="14"/>
    </x:row>
    <x:row r="32">
      <x:c r="A32" s="14"/>
      <x:c r="B32" s="14"/>
      <x:c r="C32" s="14"/>
      <x:c r="D32" s="14"/>
      <x:c r="E32" s="26"/>
      <x:c r="F32" s="26"/>
      <x:c r="G32" s="26"/>
      <x:c r="H32" s="26"/>
      <x:c r="I32" s="26"/>
      <x:c r="J32" s="14"/>
      <x:c r="K32" s="14"/>
      <x:c r="L32" s="14"/>
      <x:c r="M32" s="14"/>
      <x:c r="N32" s="14"/>
    </x:row>
    <x:row r="33">
      <x:c r="A33" s="14"/>
      <x:c r="B33" s="14"/>
      <x:c r="C33" s="14"/>
      <x:c r="D33" s="14"/>
      <x:c r="E33" s="26"/>
      <x:c r="F33" s="26"/>
      <x:c r="G33" s="26"/>
      <x:c r="H33" s="26"/>
      <x:c r="I33" s="26"/>
      <x:c r="J33" s="14"/>
      <x:c r="K33" s="14"/>
      <x:c r="L33" s="14"/>
      <x:c r="M33" s="14"/>
      <x:c r="N33" s="14"/>
    </x:row>
    <x:row r="34">
      <x:c r="A34" s="14"/>
      <x:c r="B34" s="14"/>
      <x:c r="C34" s="14"/>
      <x:c r="D34" s="14"/>
      <x:c r="E34" s="26"/>
      <x:c r="F34" s="26"/>
      <x:c r="G34" s="26"/>
      <x:c r="H34" s="26"/>
      <x:c r="I34" s="26"/>
      <x:c r="J34" s="14"/>
      <x:c r="K34" s="14"/>
      <x:c r="L34" s="14"/>
      <x:c r="M34" s="14"/>
      <x:c r="N34" s="14"/>
    </x:row>
    <x:row r="35">
      <x:c r="A35" s="14"/>
      <x:c r="B35" s="14"/>
      <x:c r="C35" s="14"/>
      <x:c r="D35" s="14"/>
      <x:c r="E35" s="26"/>
      <x:c r="F35" s="26"/>
      <x:c r="G35" s="26"/>
      <x:c r="H35" s="26"/>
      <x:c r="I35" s="26"/>
      <x:c r="J35" s="14"/>
      <x:c r="K35" s="14"/>
      <x:c r="L35" s="14"/>
      <x:c r="M35" s="14"/>
      <x:c r="N35" s="14"/>
    </x:row>
    <x:row r="36">
      <x:c r="A36" s="14"/>
      <x:c r="B36" s="14"/>
      <x:c r="C36" s="14"/>
      <x:c r="D36" s="14"/>
      <x:c r="E36" s="26"/>
      <x:c r="F36" s="26"/>
      <x:c r="G36" s="26"/>
      <x:c r="H36" s="26"/>
      <x:c r="I36" s="26"/>
      <x:c r="J36" s="14"/>
      <x:c r="K36" s="14"/>
      <x:c r="L36" s="14"/>
      <x:c r="M36" s="14"/>
      <x:c r="N36" s="14"/>
    </x:row>
    <x:row r="37">
      <x:c r="A37" s="14"/>
      <x:c r="B37" s="14"/>
      <x:c r="C37" s="14"/>
      <x:c r="D37" s="14"/>
      <x:c r="E37" s="26"/>
      <x:c r="F37" s="26"/>
      <x:c r="G37" s="26"/>
      <x:c r="H37" s="26"/>
      <x:c r="I37" s="26"/>
      <x:c r="J37" s="14"/>
      <x:c r="K37" s="14"/>
      <x:c r="L37" s="14"/>
      <x:c r="M37" s="14"/>
      <x:c r="N37" s="14"/>
    </x:row>
    <x:row r="38">
      <x:c r="A38" s="14"/>
      <x:c r="B38" s="14"/>
      <x:c r="C38" s="14"/>
      <x:c r="D38" s="14"/>
      <x:c r="E38" s="26"/>
      <x:c r="F38" s="26"/>
      <x:c r="G38" s="26"/>
      <x:c r="H38" s="26"/>
      <x:c r="I38" s="26"/>
      <x:c r="J38" s="14"/>
      <x:c r="K38" s="14"/>
      <x:c r="L38" s="14"/>
      <x:c r="M38" s="14"/>
      <x:c r="N38" s="14"/>
    </x:row>
    <x:row r="39">
      <x:c r="A39" s="14"/>
      <x:c r="B39" s="14"/>
      <x:c r="C39" s="14"/>
      <x:c r="D39" s="14"/>
      <x:c r="E39" s="26"/>
      <x:c r="F39" s="26"/>
      <x:c r="G39" s="26"/>
      <x:c r="H39" s="26"/>
      <x:c r="I39" s="26"/>
      <x:c r="J39" s="14"/>
      <x:c r="K39" s="14"/>
      <x:c r="L39" s="14"/>
      <x:c r="M39" s="14"/>
      <x:c r="N39" s="14"/>
    </x:row>
    <x:row r="40">
      <x:c r="A40" s="14"/>
      <x:c r="B40" s="14"/>
      <x:c r="C40" s="14"/>
      <x:c r="D40" s="14"/>
      <x:c r="E40" s="26"/>
      <x:c r="F40" s="26"/>
      <x:c r="G40" s="26"/>
      <x:c r="H40" s="26"/>
      <x:c r="I40" s="26"/>
      <x:c r="J40" s="14"/>
      <x:c r="K40" s="14"/>
      <x:c r="L40" s="14"/>
      <x:c r="M40" s="14"/>
      <x:c r="N40" s="14"/>
    </x:row>
    <x:row r="41">
      <x:c r="A41" s="14"/>
      <x:c r="B41" s="14"/>
      <x:c r="C41" s="14"/>
      <x:c r="D41" s="14"/>
      <x:c r="E41" s="26"/>
      <x:c r="F41" s="26"/>
      <x:c r="G41" s="26"/>
      <x:c r="H41" s="26"/>
      <x:c r="I41" s="26"/>
      <x:c r="J41" s="14"/>
      <x:c r="K41" s="14"/>
      <x:c r="L41" s="14"/>
      <x:c r="M41" s="14"/>
      <x:c r="N41" s="14"/>
    </x:row>
    <x:row r="42">
      <x:c r="A42" s="14"/>
      <x:c r="B42" s="14"/>
      <x:c r="C42" s="14"/>
      <x:c r="D42" s="14"/>
      <x:c r="E42" s="26"/>
      <x:c r="F42" s="26"/>
      <x:c r="G42" s="26"/>
      <x:c r="H42" s="26"/>
      <x:c r="I42" s="26"/>
      <x:c r="J42" s="14"/>
      <x:c r="K42" s="14"/>
      <x:c r="L42" s="14"/>
      <x:c r="M42" s="14"/>
      <x:c r="N42" s="14"/>
    </x:row>
    <x:row r="43">
      <x:c r="A43" s="14"/>
      <x:c r="B43" s="14"/>
      <x:c r="C43" s="14"/>
      <x:c r="D43" s="14"/>
      <x:c r="E43" s="26"/>
      <x:c r="F43" s="26"/>
      <x:c r="G43" s="26"/>
      <x:c r="H43" s="26"/>
      <x:c r="I43" s="26"/>
      <x:c r="J43" s="14"/>
      <x:c r="K43" s="14"/>
      <x:c r="L43" s="14"/>
      <x:c r="M43" s="14"/>
      <x:c r="N43" s="14"/>
    </x:row>
    <x:row r="44">
      <x:c r="A44" s="14"/>
      <x:c r="B44" s="14"/>
      <x:c r="C44" s="14"/>
      <x:c r="D44" s="14"/>
      <x:c r="E44" s="26"/>
      <x:c r="F44" s="26"/>
      <x:c r="G44" s="26"/>
      <x:c r="H44" s="26"/>
      <x:c r="I44" s="26"/>
      <x:c r="J44" s="14"/>
      <x:c r="K44" s="14"/>
      <x:c r="L44" s="14"/>
      <x:c r="M44" s="14"/>
      <x:c r="N44" s="14"/>
    </x:row>
    <x:row r="45">
      <x:c r="A45" s="14"/>
      <x:c r="B45" s="14"/>
      <x:c r="C45" s="14"/>
      <x:c r="D45" s="14"/>
      <x:c r="E45" s="26"/>
      <x:c r="F45" s="26"/>
      <x:c r="G45" s="26"/>
      <x:c r="H45" s="26"/>
      <x:c r="I45" s="26"/>
      <x:c r="J45" s="14"/>
      <x:c r="K45" s="14"/>
      <x:c r="L45" s="14"/>
      <x:c r="M45" s="14"/>
      <x:c r="N45" s="14"/>
    </x:row>
    <x:row r="46">
      <x:c r="A46" s="14"/>
      <x:c r="B46" s="14"/>
      <x:c r="C46" s="14"/>
      <x:c r="D46" s="14"/>
      <x:c r="E46" s="26"/>
      <x:c r="F46" s="26"/>
      <x:c r="G46" s="26"/>
      <x:c r="H46" s="26"/>
      <x:c r="I46" s="26"/>
      <x:c r="J46" s="14"/>
      <x:c r="K46" s="14"/>
      <x:c r="L46" s="14"/>
      <x:c r="M46" s="14"/>
      <x:c r="N46" s="14"/>
    </x:row>
    <x:row r="47">
      <x:c r="A47" s="14"/>
      <x:c r="B47" s="14"/>
      <x:c r="C47" s="14"/>
      <x:c r="D47" s="14"/>
      <x:c r="E47" s="26"/>
      <x:c r="F47" s="26"/>
      <x:c r="G47" s="26"/>
      <x:c r="H47" s="26"/>
      <x:c r="I47" s="26"/>
      <x:c r="J47" s="14"/>
      <x:c r="K47" s="14"/>
      <x:c r="L47" s="14"/>
      <x:c r="M47" s="14"/>
      <x:c r="N47" s="14"/>
    </x:row>
    <x:row r="48">
      <x:c r="A48" s="14"/>
      <x:c r="B48" s="14"/>
      <x:c r="C48" s="14"/>
      <x:c r="D48" s="14"/>
      <x:c r="E48" s="26"/>
      <x:c r="F48" s="26"/>
      <x:c r="G48" s="26"/>
      <x:c r="H48" s="26"/>
      <x:c r="I48" s="26"/>
      <x:c r="J48" s="14"/>
      <x:c r="K48" s="14"/>
      <x:c r="L48" s="14"/>
      <x:c r="M48" s="14"/>
      <x:c r="N48" s="14"/>
    </x:row>
    <x:row r="49">
      <x:c r="A49" s="14"/>
      <x:c r="B49" s="14"/>
      <x:c r="C49" s="14"/>
      <x:c r="D49" s="14"/>
      <x:c r="E49" s="26"/>
      <x:c r="F49" s="26"/>
      <x:c r="G49" s="26"/>
      <x:c r="H49" s="26"/>
      <x:c r="I49" s="26"/>
      <x:c r="J49" s="14"/>
      <x:c r="K49" s="14"/>
      <x:c r="L49" s="14"/>
      <x:c r="M49" s="14"/>
      <x:c r="N49" s="14"/>
    </x:row>
    <x:row r="50">
      <x:c r="A50" s="14"/>
      <x:c r="B50" s="14"/>
      <x:c r="C50" s="14"/>
      <x:c r="D50" s="14"/>
      <x:c r="E50" s="26"/>
      <x:c r="F50" s="26"/>
      <x:c r="G50" s="26"/>
      <x:c r="H50" s="26"/>
      <x:c r="I50" s="26"/>
      <x:c r="J50" s="14"/>
      <x:c r="K50" s="14"/>
      <x:c r="L50" s="14"/>
      <x:c r="M50" s="14"/>
      <x:c r="N50" s="14"/>
    </x:row>
    <x:row r="51">
      <x:c r="A51" s="14"/>
      <x:c r="B51" s="14"/>
      <x:c r="C51" s="14"/>
      <x:c r="D51" s="14"/>
      <x:c r="E51" s="26"/>
      <x:c r="F51" s="26"/>
      <x:c r="G51" s="26"/>
      <x:c r="H51" s="26"/>
      <x:c r="I51" s="26"/>
      <x:c r="J51" s="14"/>
      <x:c r="K51" s="14"/>
      <x:c r="L51" s="14"/>
      <x:c r="M51" s="14"/>
      <x:c r="N51" s="14"/>
    </x:row>
    <x:row r="52">
      <x:c r="A52" s="14"/>
      <x:c r="B52" s="14"/>
      <x:c r="C52" s="14"/>
      <x:c r="D52" s="14"/>
      <x:c r="E52" s="26"/>
      <x:c r="F52" s="26"/>
      <x:c r="G52" s="26"/>
      <x:c r="H52" s="26"/>
      <x:c r="I52" s="26"/>
      <x:c r="J52" s="14"/>
      <x:c r="K52" s="14"/>
      <x:c r="L52" s="14"/>
      <x:c r="M52" s="14"/>
      <x:c r="N52" s="14"/>
    </x:row>
    <x:row r="53">
      <x:c r="A53" s="14"/>
      <x:c r="B53" s="14"/>
      <x:c r="C53" s="14"/>
      <x:c r="D53" s="14"/>
      <x:c r="E53" s="26"/>
      <x:c r="F53" s="26"/>
      <x:c r="G53" s="26"/>
      <x:c r="H53" s="26"/>
      <x:c r="I53" s="26"/>
      <x:c r="J53" s="14"/>
      <x:c r="K53" s="14"/>
      <x:c r="L53" s="14"/>
      <x:c r="M53" s="14"/>
      <x:c r="N53" s="14"/>
    </x:row>
    <x:row r="54">
      <x:c r="A54" s="14"/>
      <x:c r="B54" s="14"/>
      <x:c r="C54" s="14"/>
      <x:c r="D54" s="14"/>
      <x:c r="E54" s="26"/>
      <x:c r="F54" s="26"/>
      <x:c r="G54" s="26"/>
      <x:c r="H54" s="26"/>
      <x:c r="I54" s="26"/>
      <x:c r="J54" s="14"/>
      <x:c r="K54" s="14"/>
      <x:c r="L54" s="14"/>
      <x:c r="M54" s="14"/>
      <x:c r="N54" s="14"/>
    </x:row>
    <x:row r="55">
      <x:c r="A55" s="14"/>
      <x:c r="B55" s="14"/>
      <x:c r="C55" s="14"/>
      <x:c r="D55" s="14"/>
      <x:c r="E55" s="26"/>
      <x:c r="F55" s="26"/>
      <x:c r="G55" s="26"/>
      <x:c r="H55" s="26"/>
      <x:c r="I55" s="26"/>
      <x:c r="J55" s="14"/>
      <x:c r="K55" s="14"/>
      <x:c r="L55" s="14"/>
      <x:c r="M55" s="14"/>
      <x:c r="N55" s="14"/>
    </x:row>
    <x:row r="56">
      <x:c r="A56" s="14"/>
      <x:c r="B56" s="14"/>
      <x:c r="C56" s="14"/>
      <x:c r="D56" s="14"/>
      <x:c r="E56" s="26"/>
      <x:c r="F56" s="26"/>
      <x:c r="G56" s="26"/>
      <x:c r="H56" s="26"/>
      <x:c r="I56" s="26"/>
      <x:c r="J56" s="14"/>
      <x:c r="K56" s="14"/>
      <x:c r="L56" s="14"/>
      <x:c r="M56" s="14"/>
      <x:c r="N56" s="14"/>
    </x:row>
    <x:row r="57">
      <x:c r="A57" s="14"/>
      <x:c r="B57" s="14"/>
      <x:c r="C57" s="14"/>
      <x:c r="D57" s="14"/>
      <x:c r="E57" s="26"/>
      <x:c r="F57" s="26"/>
      <x:c r="G57" s="26"/>
      <x:c r="H57" s="26"/>
      <x:c r="I57" s="26"/>
      <x:c r="J57" s="14"/>
      <x:c r="K57" s="14"/>
      <x:c r="L57" s="14"/>
      <x:c r="M57" s="14"/>
      <x:c r="N57" s="14"/>
    </x:row>
    <x:row r="58">
      <x:c r="A58" s="14"/>
      <x:c r="B58" s="14"/>
      <x:c r="C58" s="14"/>
      <x:c r="D58" s="14"/>
      <x:c r="E58" s="26"/>
      <x:c r="F58" s="26"/>
      <x:c r="G58" s="26"/>
      <x:c r="H58" s="26"/>
      <x:c r="I58" s="26"/>
      <x:c r="J58" s="14"/>
      <x:c r="K58" s="14"/>
      <x:c r="L58" s="14"/>
      <x:c r="M58" s="14"/>
      <x:c r="N58" s="14"/>
    </x:row>
    <x:row r="59">
      <x:c r="A59" s="14"/>
      <x:c r="B59" s="14"/>
      <x:c r="C59" s="14"/>
      <x:c r="D59" s="14"/>
      <x:c r="E59" s="26"/>
      <x:c r="F59" s="26"/>
      <x:c r="G59" s="26"/>
      <x:c r="H59" s="26"/>
      <x:c r="I59" s="26"/>
      <x:c r="J59" s="14"/>
      <x:c r="K59" s="14"/>
      <x:c r="L59" s="14"/>
      <x:c r="M59" s="14"/>
      <x:c r="N59" s="14"/>
    </x:row>
    <x:row r="60">
      <x:c r="A60" s="14"/>
      <x:c r="B60" s="14"/>
      <x:c r="C60" s="14"/>
      <x:c r="D60" s="14"/>
      <x:c r="E60" s="26"/>
      <x:c r="F60" s="26"/>
      <x:c r="G60" s="26"/>
      <x:c r="H60" s="26"/>
      <x:c r="I60" s="26"/>
      <x:c r="J60" s="14"/>
      <x:c r="K60" s="14"/>
      <x:c r="L60" s="14"/>
      <x:c r="M60" s="14"/>
      <x:c r="N60" s="14"/>
    </x:row>
    <x:row r="61">
      <x:c r="A61" s="14"/>
      <x:c r="B61" s="14"/>
      <x:c r="C61" s="14"/>
      <x:c r="D61" s="14"/>
      <x:c r="E61" s="26"/>
      <x:c r="F61" s="26"/>
      <x:c r="G61" s="26"/>
      <x:c r="H61" s="26"/>
      <x:c r="I61" s="26"/>
      <x:c r="J61" s="14"/>
      <x:c r="K61" s="14"/>
      <x:c r="L61" s="14"/>
      <x:c r="M61" s="14"/>
      <x:c r="N61" s="14"/>
    </x:row>
    <x:row r="62">
      <x:c r="A62" s="14"/>
      <x:c r="B62" s="14"/>
      <x:c r="C62" s="14"/>
      <x:c r="D62" s="14"/>
      <x:c r="E62" s="26"/>
      <x:c r="F62" s="26"/>
      <x:c r="G62" s="26"/>
      <x:c r="H62" s="26"/>
      <x:c r="I62" s="26"/>
      <x:c r="J62" s="14"/>
      <x:c r="K62" s="14"/>
      <x:c r="L62" s="14"/>
      <x:c r="M62" s="14"/>
      <x:c r="N62" s="14"/>
    </x:row>
    <x:row r="63">
      <x:c r="A63" s="14"/>
      <x:c r="B63" s="14"/>
      <x:c r="C63" s="14"/>
      <x:c r="D63" s="14"/>
      <x:c r="E63" s="26"/>
      <x:c r="F63" s="26"/>
      <x:c r="G63" s="26"/>
      <x:c r="H63" s="26"/>
      <x:c r="I63" s="26"/>
      <x:c r="J63" s="14"/>
      <x:c r="K63" s="14"/>
      <x:c r="L63" s="14"/>
      <x:c r="M63" s="14"/>
      <x:c r="N63" s="14"/>
    </x:row>
    <x:row r="64">
      <x:c r="A64" s="14"/>
      <x:c r="B64" s="14"/>
      <x:c r="C64" s="14"/>
      <x:c r="D64" s="14"/>
      <x:c r="E64" s="26"/>
      <x:c r="F64" s="26"/>
      <x:c r="G64" s="26"/>
      <x:c r="H64" s="26"/>
      <x:c r="I64" s="26"/>
      <x:c r="J64" s="14"/>
      <x:c r="K64" s="14"/>
      <x:c r="L64" s="14"/>
      <x:c r="M64" s="14"/>
      <x:c r="N64" s="14"/>
    </x:row>
    <x:row r="65">
      <x:c r="A65" s="14"/>
      <x:c r="B65" s="14"/>
      <x:c r="C65" s="14"/>
      <x:c r="D65" s="14"/>
      <x:c r="E65" s="26"/>
      <x:c r="F65" s="26"/>
      <x:c r="G65" s="26"/>
      <x:c r="H65" s="26"/>
      <x:c r="I65" s="26"/>
      <x:c r="J65" s="14"/>
      <x:c r="K65" s="14"/>
      <x:c r="L65" s="14"/>
      <x:c r="M65" s="14"/>
      <x:c r="N65" s="14"/>
    </x:row>
    <x:row r="66">
      <x:c r="A66" s="14"/>
      <x:c r="B66" s="14"/>
      <x:c r="C66" s="14"/>
      <x:c r="D66" s="14"/>
      <x:c r="E66" s="26"/>
      <x:c r="F66" s="26"/>
      <x:c r="G66" s="26"/>
      <x:c r="H66" s="26"/>
      <x:c r="I66" s="26"/>
      <x:c r="J66" s="14"/>
      <x:c r="K66" s="14"/>
      <x:c r="L66" s="14"/>
      <x:c r="M66" s="14"/>
      <x:c r="N66" s="14"/>
    </x:row>
    <x:row r="67">
      <x:c r="A67" s="14"/>
      <x:c r="B67" s="14"/>
      <x:c r="C67" s="14"/>
      <x:c r="D67" s="14"/>
      <x:c r="E67" s="26"/>
      <x:c r="F67" s="26"/>
      <x:c r="G67" s="26"/>
      <x:c r="H67" s="26"/>
      <x:c r="I67" s="26"/>
      <x:c r="J67" s="14"/>
      <x:c r="K67" s="14"/>
      <x:c r="L67" s="14"/>
      <x:c r="M67" s="14"/>
      <x:c r="N67" s="14"/>
    </x:row>
    <x:row r="68">
      <x:c r="A68" s="14"/>
      <x:c r="B68" s="14"/>
      <x:c r="C68" s="14"/>
      <x:c r="D68" s="14"/>
      <x:c r="E68" s="26"/>
      <x:c r="F68" s="26"/>
      <x:c r="G68" s="26"/>
      <x:c r="H68" s="26"/>
      <x:c r="I68" s="26"/>
      <x:c r="J68" s="14"/>
      <x:c r="K68" s="14"/>
      <x:c r="L68" s="14"/>
      <x:c r="M68" s="14"/>
      <x:c r="N68" s="14"/>
    </x:row>
    <x:row r="69">
      <x:c r="A69" s="14"/>
      <x:c r="B69" s="14"/>
      <x:c r="C69" s="14"/>
      <x:c r="D69" s="14"/>
      <x:c r="E69" s="26"/>
      <x:c r="F69" s="26"/>
      <x:c r="G69" s="26"/>
      <x:c r="H69" s="26"/>
      <x:c r="I69" s="26"/>
      <x:c r="J69" s="14"/>
      <x:c r="K69" s="14"/>
      <x:c r="L69" s="14"/>
      <x:c r="M69" s="14"/>
      <x:c r="N69" s="14"/>
    </x:row>
    <x:row r="70">
      <x:c r="A70" s="14"/>
      <x:c r="B70" s="14"/>
      <x:c r="C70" s="14"/>
      <x:c r="D70" s="14"/>
      <x:c r="E70" s="26"/>
      <x:c r="F70" s="26"/>
      <x:c r="G70" s="26"/>
      <x:c r="H70" s="26"/>
      <x:c r="I70" s="26"/>
      <x:c r="J70" s="14"/>
      <x:c r="K70" s="14"/>
      <x:c r="L70" s="14"/>
      <x:c r="M70" s="14"/>
      <x:c r="N70" s="14"/>
    </x:row>
    <x:row r="71">
      <x:c r="A71" s="14"/>
      <x:c r="B71" s="14"/>
      <x:c r="C71" s="14"/>
      <x:c r="D71" s="14"/>
      <x:c r="E71" s="26"/>
      <x:c r="F71" s="26"/>
      <x:c r="G71" s="26"/>
      <x:c r="H71" s="26"/>
      <x:c r="I71" s="26"/>
      <x:c r="J71" s="14"/>
      <x:c r="K71" s="14"/>
      <x:c r="L71" s="14"/>
      <x:c r="M71" s="14"/>
      <x:c r="N71" s="14"/>
    </x:row>
    <x:row r="72">
      <x:c r="A72" s="14"/>
      <x:c r="B72" s="14"/>
      <x:c r="C72" s="14"/>
      <x:c r="D72" s="14"/>
      <x:c r="E72" s="26"/>
      <x:c r="F72" s="26"/>
      <x:c r="G72" s="26"/>
      <x:c r="H72" s="26"/>
      <x:c r="I72" s="26"/>
      <x:c r="J72" s="14"/>
      <x:c r="K72" s="14"/>
      <x:c r="L72" s="14"/>
      <x:c r="M72" s="14"/>
      <x:c r="N72" s="14"/>
    </x:row>
    <x:row r="73">
      <x:c r="A73" s="14"/>
      <x:c r="B73" s="14"/>
      <x:c r="C73" s="14"/>
      <x:c r="D73" s="14"/>
      <x:c r="E73" s="26"/>
      <x:c r="F73" s="26"/>
      <x:c r="G73" s="26"/>
      <x:c r="H73" s="26"/>
      <x:c r="I73" s="26"/>
      <x:c r="J73" s="14"/>
      <x:c r="K73" s="14"/>
      <x:c r="L73" s="14"/>
      <x:c r="M73" s="14"/>
      <x:c r="N73" s="14"/>
    </x:row>
    <x:row r="74">
      <x:c r="A74" s="14"/>
      <x:c r="B74" s="14"/>
      <x:c r="C74" s="14"/>
      <x:c r="D74" s="14"/>
      <x:c r="E74" s="26"/>
      <x:c r="F74" s="26"/>
      <x:c r="G74" s="26"/>
      <x:c r="H74" s="26"/>
      <x:c r="I74" s="26"/>
      <x:c r="J74" s="14"/>
      <x:c r="K74" s="14"/>
      <x:c r="L74" s="14"/>
      <x:c r="M74" s="14"/>
      <x:c r="N74" s="14"/>
    </x:row>
    <x:row r="75">
      <x:c r="A75" s="14"/>
      <x:c r="B75" s="14"/>
      <x:c r="C75" s="14"/>
      <x:c r="D75" s="14"/>
      <x:c r="E75" s="26"/>
      <x:c r="F75" s="26"/>
      <x:c r="G75" s="26"/>
      <x:c r="H75" s="26"/>
      <x:c r="I75" s="26"/>
      <x:c r="J75" s="14"/>
      <x:c r="K75" s="14"/>
      <x:c r="L75" s="14"/>
      <x:c r="M75" s="14"/>
      <x:c r="N75" s="14"/>
    </x:row>
    <x:row r="76">
      <x:c r="A76" s="14"/>
      <x:c r="B76" s="14"/>
      <x:c r="C76" s="14"/>
      <x:c r="D76" s="14"/>
      <x:c r="E76" s="26"/>
      <x:c r="F76" s="26"/>
      <x:c r="G76" s="26"/>
      <x:c r="H76" s="26"/>
      <x:c r="I76" s="26"/>
      <x:c r="J76" s="14"/>
      <x:c r="K76" s="14"/>
      <x:c r="L76" s="14"/>
      <x:c r="M76" s="14"/>
      <x:c r="N76" s="14"/>
    </x:row>
    <x:row r="77">
      <x:c r="A77" s="14"/>
      <x:c r="B77" s="14"/>
      <x:c r="C77" s="14"/>
      <x:c r="D77" s="14"/>
      <x:c r="E77" s="26"/>
      <x:c r="F77" s="26"/>
      <x:c r="G77" s="26"/>
      <x:c r="H77" s="26"/>
      <x:c r="I77" s="26"/>
      <x:c r="J77" s="14"/>
      <x:c r="K77" s="14"/>
      <x:c r="L77" s="14"/>
      <x:c r="M77" s="14"/>
      <x:c r="N77" s="14"/>
    </x:row>
    <x:row r="78">
      <x:c r="A78" s="14"/>
      <x:c r="B78" s="14"/>
      <x:c r="C78" s="14"/>
      <x:c r="D78" s="14"/>
      <x:c r="E78" s="26"/>
      <x:c r="F78" s="26"/>
      <x:c r="G78" s="26"/>
      <x:c r="H78" s="26"/>
      <x:c r="I78" s="26"/>
      <x:c r="J78" s="14"/>
      <x:c r="K78" s="14"/>
      <x:c r="L78" s="14"/>
      <x:c r="M78" s="14"/>
      <x:c r="N78" s="14"/>
    </x:row>
    <x:row r="79">
      <x:c r="A79" s="14"/>
      <x:c r="B79" s="14"/>
      <x:c r="C79" s="14"/>
      <x:c r="D79" s="14"/>
      <x:c r="E79" s="26"/>
      <x:c r="F79" s="26"/>
      <x:c r="G79" s="26"/>
      <x:c r="H79" s="26"/>
      <x:c r="I79" s="26"/>
      <x:c r="J79" s="14"/>
      <x:c r="K79" s="14"/>
      <x:c r="L79" s="14"/>
      <x:c r="M79" s="14"/>
      <x:c r="N79" s="14"/>
    </x:row>
    <x:row r="80">
      <x:c r="A80" s="14"/>
      <x:c r="B80" s="14"/>
      <x:c r="C80" s="14"/>
      <x:c r="D80" s="14"/>
      <x:c r="E80" s="26"/>
      <x:c r="F80" s="26"/>
      <x:c r="G80" s="26"/>
      <x:c r="H80" s="26"/>
      <x:c r="I80" s="26"/>
      <x:c r="J80" s="14"/>
      <x:c r="K80" s="14"/>
      <x:c r="L80" s="14"/>
      <x:c r="M80" s="14"/>
      <x:c r="N80" s="14"/>
    </x:row>
    <x:row r="81">
      <x:c r="A81" s="14"/>
      <x:c r="B81" s="14"/>
      <x:c r="C81" s="14"/>
      <x:c r="D81" s="14"/>
      <x:c r="E81" s="26"/>
      <x:c r="F81" s="26"/>
      <x:c r="G81" s="26"/>
      <x:c r="H81" s="26"/>
      <x:c r="I81" s="26"/>
      <x:c r="J81" s="14"/>
      <x:c r="K81" s="14"/>
      <x:c r="L81" s="14"/>
      <x:c r="M81" s="14"/>
      <x:c r="N81" s="14"/>
    </x:row>
    <x:row r="82">
      <x:c r="A82" s="14"/>
      <x:c r="B82" s="14"/>
      <x:c r="C82" s="14"/>
      <x:c r="D82" s="14"/>
      <x:c r="E82" s="26"/>
      <x:c r="F82" s="26"/>
      <x:c r="G82" s="26"/>
      <x:c r="H82" s="26"/>
      <x:c r="I82" s="26"/>
      <x:c r="J82" s="14"/>
      <x:c r="K82" s="14"/>
      <x:c r="L82" s="14"/>
      <x:c r="M82" s="14"/>
      <x:c r="N82" s="14"/>
    </x:row>
    <x:row r="83">
      <x:c r="A83" s="14"/>
      <x:c r="B83" s="14"/>
      <x:c r="C83" s="14"/>
      <x:c r="D83" s="14"/>
      <x:c r="E83" s="26"/>
      <x:c r="F83" s="26"/>
      <x:c r="G83" s="26"/>
      <x:c r="H83" s="26"/>
      <x:c r="I83" s="26"/>
      <x:c r="J83" s="14"/>
      <x:c r="K83" s="14"/>
      <x:c r="L83" s="14"/>
      <x:c r="M83" s="14"/>
      <x:c r="N83" s="14"/>
    </x:row>
    <x:row r="84">
      <x:c r="A84" s="14"/>
      <x:c r="B84" s="14"/>
      <x:c r="C84" s="14"/>
      <x:c r="D84" s="14"/>
      <x:c r="E84" s="26"/>
      <x:c r="F84" s="26"/>
      <x:c r="G84" s="26"/>
      <x:c r="H84" s="26"/>
      <x:c r="I84" s="26"/>
      <x:c r="J84" s="14"/>
      <x:c r="K84" s="14"/>
      <x:c r="L84" s="14"/>
      <x:c r="M84" s="14"/>
      <x:c r="N84" s="14"/>
    </x:row>
    <x:row r="85">
      <x:c r="A85" s="14"/>
      <x:c r="B85" s="14"/>
      <x:c r="C85" s="14"/>
      <x:c r="D85" s="14"/>
      <x:c r="E85" s="26"/>
      <x:c r="F85" s="26"/>
      <x:c r="G85" s="26"/>
      <x:c r="H85" s="26"/>
      <x:c r="I85" s="26"/>
      <x:c r="J85" s="14"/>
      <x:c r="K85" s="14"/>
      <x:c r="L85" s="14"/>
      <x:c r="M85" s="14"/>
      <x:c r="N85" s="14"/>
    </x:row>
    <x:row r="86">
      <x:c r="A86" s="14"/>
      <x:c r="B86" s="14"/>
      <x:c r="C86" s="14"/>
      <x:c r="D86" s="14"/>
      <x:c r="E86" s="26"/>
      <x:c r="F86" s="26"/>
      <x:c r="G86" s="26"/>
      <x:c r="H86" s="26"/>
      <x:c r="I86" s="26"/>
      <x:c r="J86" s="14"/>
      <x:c r="K86" s="14"/>
      <x:c r="L86" s="14"/>
      <x:c r="M86" s="14"/>
      <x:c r="N86" s="14"/>
    </x:row>
    <x:row r="87">
      <x:c r="A87" s="14"/>
      <x:c r="B87" s="14"/>
      <x:c r="C87" s="14"/>
      <x:c r="D87" s="14"/>
      <x:c r="E87" s="26"/>
      <x:c r="F87" s="26"/>
      <x:c r="G87" s="26"/>
      <x:c r="H87" s="26"/>
      <x:c r="I87" s="26"/>
      <x:c r="J87" s="14"/>
      <x:c r="K87" s="14"/>
      <x:c r="L87" s="14"/>
      <x:c r="M87" s="14"/>
      <x:c r="N87" s="14"/>
    </x:row>
    <x:row r="88">
      <x:c r="A88" s="14"/>
      <x:c r="B88" s="14"/>
      <x:c r="C88" s="14"/>
      <x:c r="D88" s="14"/>
      <x:c r="E88" s="26"/>
      <x:c r="F88" s="26"/>
      <x:c r="G88" s="26"/>
      <x:c r="H88" s="26"/>
      <x:c r="I88" s="26"/>
      <x:c r="J88" s="14"/>
      <x:c r="K88" s="14"/>
      <x:c r="L88" s="14"/>
      <x:c r="M88" s="14"/>
      <x:c r="N88" s="14"/>
    </x:row>
    <x:row r="89">
      <x:c r="A89" s="14"/>
      <x:c r="B89" s="14"/>
      <x:c r="C89" s="14"/>
      <x:c r="D89" s="14"/>
      <x:c r="E89" s="26"/>
      <x:c r="F89" s="26"/>
      <x:c r="G89" s="26"/>
      <x:c r="H89" s="26"/>
      <x:c r="I89" s="26"/>
      <x:c r="J89" s="14"/>
      <x:c r="K89" s="14"/>
      <x:c r="L89" s="14"/>
      <x:c r="M89" s="14"/>
      <x:c r="N89" s="14"/>
    </x:row>
    <x:row r="90">
      <x:c r="A90" s="14"/>
      <x:c r="B90" s="14"/>
      <x:c r="C90" s="14"/>
      <x:c r="D90" s="14"/>
      <x:c r="E90" s="26"/>
      <x:c r="F90" s="26"/>
      <x:c r="G90" s="26"/>
      <x:c r="H90" s="26"/>
      <x:c r="I90" s="26"/>
      <x:c r="J90" s="14"/>
      <x:c r="K90" s="14"/>
      <x:c r="L90" s="14"/>
      <x:c r="M90" s="14"/>
      <x:c r="N90" s="14"/>
    </x:row>
    <x:row r="91">
      <x:c r="A91" s="14"/>
      <x:c r="B91" s="14"/>
      <x:c r="C91" s="14"/>
      <x:c r="D91" s="14"/>
      <x:c r="E91" s="26"/>
      <x:c r="F91" s="26"/>
      <x:c r="G91" s="26"/>
      <x:c r="H91" s="26"/>
      <x:c r="I91" s="26"/>
      <x:c r="J91" s="14"/>
      <x:c r="K91" s="14"/>
      <x:c r="L91" s="14"/>
      <x:c r="M91" s="14"/>
      <x:c r="N91" s="14"/>
    </x:row>
    <x:row r="92">
      <x:c r="A92" s="14"/>
      <x:c r="B92" s="14"/>
      <x:c r="C92" s="14"/>
      <x:c r="D92" s="14"/>
      <x:c r="E92" s="26"/>
      <x:c r="F92" s="26"/>
      <x:c r="G92" s="26"/>
      <x:c r="H92" s="26"/>
      <x:c r="I92" s="26"/>
      <x:c r="J92" s="14"/>
      <x:c r="K92" s="14"/>
      <x:c r="L92" s="14"/>
      <x:c r="M92" s="14"/>
      <x:c r="N92" s="14"/>
    </x:row>
    <x:row r="93">
      <x:c r="A93" s="14"/>
      <x:c r="B93" s="14"/>
      <x:c r="C93" s="14"/>
      <x:c r="D93" s="14"/>
      <x:c r="E93" s="26"/>
      <x:c r="F93" s="26"/>
      <x:c r="G93" s="26"/>
      <x:c r="H93" s="26"/>
      <x:c r="I93" s="26"/>
      <x:c r="J93" s="14"/>
      <x:c r="K93" s="14"/>
      <x:c r="L93" s="14"/>
      <x:c r="M93" s="14"/>
      <x:c r="N93" s="14"/>
    </x:row>
    <x:row r="94">
      <x:c r="A94" s="14"/>
      <x:c r="B94" s="14"/>
      <x:c r="C94" s="14"/>
      <x:c r="D94" s="14"/>
      <x:c r="E94" s="26"/>
      <x:c r="F94" s="26"/>
      <x:c r="G94" s="26"/>
      <x:c r="H94" s="26"/>
      <x:c r="I94" s="26"/>
      <x:c r="J94" s="14"/>
      <x:c r="K94" s="14"/>
      <x:c r="L94" s="14"/>
      <x:c r="M94" s="14"/>
      <x:c r="N94" s="14"/>
    </x:row>
    <x:row r="95">
      <x:c r="A95" s="14"/>
      <x:c r="B95" s="14"/>
      <x:c r="C95" s="14"/>
      <x:c r="D95" s="14"/>
      <x:c r="E95" s="26"/>
      <x:c r="F95" s="26"/>
      <x:c r="G95" s="26"/>
      <x:c r="H95" s="26"/>
      <x:c r="I95" s="26"/>
      <x:c r="J95" s="14"/>
      <x:c r="K95" s="14"/>
      <x:c r="L95" s="14"/>
      <x:c r="M95" s="14"/>
      <x:c r="N95" s="14"/>
    </x:row>
    <x:row r="96">
      <x:c r="A96" s="14"/>
      <x:c r="B96" s="14"/>
      <x:c r="C96" s="14"/>
      <x:c r="D96" s="14"/>
      <x:c r="E96" s="26"/>
      <x:c r="F96" s="26"/>
      <x:c r="G96" s="26"/>
      <x:c r="H96" s="26"/>
      <x:c r="I96" s="26"/>
      <x:c r="J96" s="14"/>
      <x:c r="K96" s="14"/>
      <x:c r="L96" s="14"/>
      <x:c r="M96" s="14"/>
      <x:c r="N96" s="14"/>
    </x:row>
    <x:row r="97">
      <x:c r="A97" s="14"/>
      <x:c r="B97" s="14"/>
      <x:c r="C97" s="14"/>
      <x:c r="D97" s="14"/>
      <x:c r="E97" s="26"/>
      <x:c r="F97" s="26"/>
      <x:c r="G97" s="26"/>
      <x:c r="H97" s="26"/>
      <x:c r="I97" s="26"/>
      <x:c r="J97" s="14"/>
      <x:c r="K97" s="14"/>
      <x:c r="L97" s="14"/>
      <x:c r="M97" s="14"/>
      <x:c r="N97" s="14"/>
    </x:row>
    <x:row r="98">
      <x:c r="A98" s="14"/>
      <x:c r="B98" s="14"/>
      <x:c r="C98" s="14"/>
      <x:c r="D98" s="14"/>
      <x:c r="E98" s="26"/>
      <x:c r="F98" s="26"/>
      <x:c r="G98" s="26"/>
      <x:c r="H98" s="26"/>
      <x:c r="I98" s="26"/>
      <x:c r="J98" s="14"/>
      <x:c r="K98" s="14"/>
      <x:c r="L98" s="14"/>
      <x:c r="M98" s="14"/>
      <x:c r="N98" s="14"/>
    </x:row>
    <x:row r="99">
      <x:c r="A99" s="14"/>
      <x:c r="B99" s="14"/>
      <x:c r="C99" s="14"/>
      <x:c r="D99" s="14"/>
      <x:c r="E99" s="26"/>
      <x:c r="F99" s="26"/>
      <x:c r="G99" s="26"/>
      <x:c r="H99" s="26"/>
      <x:c r="I99" s="26"/>
      <x:c r="J99" s="14"/>
      <x:c r="K99" s="14"/>
      <x:c r="L99" s="14"/>
      <x:c r="M99" s="14"/>
      <x:c r="N99" s="14"/>
    </x:row>
    <x:row r="100">
      <x:c r="A100" s="14"/>
      <x:c r="B100" s="14"/>
      <x:c r="C100" s="14"/>
      <x:c r="D100" s="14"/>
      <x:c r="E100" s="26"/>
      <x:c r="F100" s="26"/>
      <x:c r="G100" s="26"/>
      <x:c r="H100" s="26"/>
      <x:c r="I100" s="26"/>
      <x:c r="J100" s="14"/>
      <x:c r="K100" s="14"/>
      <x:c r="L100" s="14"/>
      <x:c r="M100" s="14"/>
      <x:c r="N100" s="14"/>
    </x:row>
    <x:row r="101">
      <x:c r="A101" s="14"/>
      <x:c r="B101" s="14"/>
      <x:c r="C101" s="14"/>
      <x:c r="D101" s="14"/>
      <x:c r="E101" s="26"/>
      <x:c r="F101" s="26"/>
      <x:c r="G101" s="26"/>
      <x:c r="H101" s="26"/>
      <x:c r="I101" s="26"/>
      <x:c r="J101" s="14"/>
      <x:c r="K101" s="14"/>
      <x:c r="L101" s="14"/>
      <x:c r="M101" s="14"/>
      <x:c r="N101" s="14"/>
    </x:row>
    <x:row r="102">
      <x:c r="A102" s="14"/>
      <x:c r="B102" s="14"/>
      <x:c r="C102" s="14"/>
      <x:c r="D102" s="14"/>
      <x:c r="E102" s="26"/>
      <x:c r="F102" s="26"/>
      <x:c r="G102" s="26"/>
      <x:c r="H102" s="26"/>
      <x:c r="I102" s="26"/>
      <x:c r="J102" s="14"/>
      <x:c r="K102" s="14"/>
      <x:c r="L102" s="14"/>
      <x:c r="M102" s="14"/>
      <x:c r="N102" s="14"/>
    </x:row>
    <x:row r="103">
      <x:c r="A103" s="14"/>
      <x:c r="B103" s="14"/>
      <x:c r="C103" s="14"/>
      <x:c r="D103" s="14"/>
      <x:c r="E103" s="26"/>
      <x:c r="F103" s="26"/>
      <x:c r="G103" s="26"/>
      <x:c r="H103" s="26"/>
      <x:c r="I103" s="26"/>
      <x:c r="J103" s="14"/>
      <x:c r="K103" s="14"/>
      <x:c r="L103" s="14"/>
      <x:c r="M103" s="14"/>
      <x:c r="N103" s="14"/>
    </x:row>
    <x:row r="104">
      <x:c r="A104" s="14"/>
      <x:c r="B104" s="14"/>
      <x:c r="C104" s="14"/>
      <x:c r="D104" s="14"/>
      <x:c r="E104" s="26"/>
      <x:c r="F104" s="26"/>
      <x:c r="G104" s="26"/>
      <x:c r="H104" s="26"/>
      <x:c r="I104" s="26"/>
      <x:c r="J104" s="14"/>
      <x:c r="K104" s="14"/>
      <x:c r="L104" s="14"/>
      <x:c r="M104" s="14"/>
      <x:c r="N104" s="14"/>
    </x:row>
    <x:row r="105">
      <x:c r="A105" s="14"/>
      <x:c r="B105" s="14"/>
      <x:c r="C105" s="14"/>
      <x:c r="D105" s="14"/>
      <x:c r="E105" s="26"/>
      <x:c r="F105" s="26"/>
      <x:c r="G105" s="26"/>
      <x:c r="H105" s="26"/>
      <x:c r="I105" s="26"/>
      <x:c r="J105" s="14"/>
      <x:c r="K105" s="14"/>
      <x:c r="L105" s="14"/>
      <x:c r="M105" s="14"/>
      <x:c r="N105" s="14"/>
    </x:row>
    <x:row r="106">
      <x:c r="A106" s="14"/>
      <x:c r="B106" s="14"/>
      <x:c r="C106" s="14"/>
      <x:c r="D106" s="14"/>
      <x:c r="E106" s="26"/>
      <x:c r="F106" s="26"/>
      <x:c r="G106" s="26"/>
      <x:c r="H106" s="26"/>
      <x:c r="I106" s="26"/>
      <x:c r="J106" s="14"/>
      <x:c r="K106" s="14"/>
      <x:c r="L106" s="14"/>
      <x:c r="M106" s="14"/>
      <x:c r="N106" s="14"/>
    </x:row>
    <x:row r="107">
      <x:c r="A107" s="14"/>
      <x:c r="B107" s="14"/>
      <x:c r="C107" s="14"/>
      <x:c r="D107" s="14"/>
      <x:c r="E107" s="26"/>
      <x:c r="F107" s="26"/>
      <x:c r="G107" s="26"/>
      <x:c r="H107" s="26"/>
      <x:c r="I107" s="26"/>
      <x:c r="J107" s="14"/>
      <x:c r="K107" s="14"/>
      <x:c r="L107" s="14"/>
      <x:c r="M107" s="14"/>
      <x:c r="N107" s="14"/>
    </x:row>
    <x:row r="108">
      <x:c r="A108" s="14"/>
      <x:c r="B108" s="14"/>
      <x:c r="C108" s="14"/>
      <x:c r="D108" s="14"/>
      <x:c r="E108" s="26"/>
      <x:c r="F108" s="26"/>
      <x:c r="G108" s="26"/>
      <x:c r="H108" s="26"/>
      <x:c r="I108" s="26"/>
      <x:c r="J108" s="14"/>
      <x:c r="K108" s="14"/>
      <x:c r="L108" s="14"/>
      <x:c r="M108" s="14"/>
      <x:c r="N108" s="14"/>
    </x:row>
    <x:row r="109">
      <x:c r="A109" s="14"/>
      <x:c r="B109" s="14"/>
      <x:c r="C109" s="14"/>
      <x:c r="D109" s="14"/>
      <x:c r="E109" s="26"/>
      <x:c r="F109" s="26"/>
      <x:c r="G109" s="26"/>
      <x:c r="H109" s="26"/>
      <x:c r="I109" s="26"/>
      <x:c r="J109" s="14"/>
      <x:c r="K109" s="14"/>
      <x:c r="L109" s="14"/>
      <x:c r="M109" s="14"/>
      <x:c r="N109" s="14"/>
    </x:row>
    <x:row r="110">
      <x:c r="A110" s="14"/>
      <x:c r="B110" s="14"/>
      <x:c r="C110" s="14"/>
      <x:c r="D110" s="14"/>
      <x:c r="E110" s="26"/>
      <x:c r="F110" s="26"/>
      <x:c r="G110" s="26"/>
      <x:c r="H110" s="26"/>
      <x:c r="I110" s="26"/>
      <x:c r="J110" s="14"/>
      <x:c r="K110" s="14"/>
      <x:c r="L110" s="14"/>
      <x:c r="M110" s="14"/>
      <x:c r="N110" s="14"/>
    </x:row>
    <x:row r="111">
      <x:c r="A111" s="14"/>
      <x:c r="B111" s="14"/>
      <x:c r="C111" s="14"/>
      <x:c r="D111" s="14"/>
      <x:c r="E111" s="26"/>
      <x:c r="F111" s="26"/>
      <x:c r="G111" s="26"/>
      <x:c r="H111" s="26"/>
      <x:c r="I111" s="26"/>
      <x:c r="J111" s="14"/>
      <x:c r="K111" s="14"/>
      <x:c r="L111" s="14"/>
      <x:c r="M111" s="14"/>
      <x:c r="N111" s="14"/>
    </x:row>
    <x:row r="112">
      <x:c r="A112" s="14"/>
      <x:c r="B112" s="14"/>
      <x:c r="C112" s="14"/>
      <x:c r="D112" s="14"/>
      <x:c r="E112" s="26"/>
      <x:c r="F112" s="26"/>
      <x:c r="G112" s="26"/>
      <x:c r="H112" s="26"/>
      <x:c r="I112" s="26"/>
      <x:c r="J112" s="14"/>
      <x:c r="K112" s="14"/>
      <x:c r="L112" s="14"/>
      <x:c r="M112" s="14"/>
      <x:c r="N112" s="14"/>
    </x:row>
    <x:row r="113">
      <x:c r="A113" s="14"/>
      <x:c r="B113" s="14"/>
      <x:c r="C113" s="14"/>
      <x:c r="D113" s="14"/>
      <x:c r="E113" s="26"/>
      <x:c r="F113" s="26"/>
      <x:c r="G113" s="26"/>
      <x:c r="H113" s="26"/>
      <x:c r="I113" s="26"/>
      <x:c r="J113" s="14"/>
      <x:c r="K113" s="14"/>
      <x:c r="L113" s="14"/>
      <x:c r="M113" s="14"/>
      <x:c r="N113" s="14"/>
    </x:row>
    <x:row r="114">
      <x:c r="A114" s="14"/>
      <x:c r="B114" s="14"/>
      <x:c r="C114" s="14"/>
      <x:c r="D114" s="14"/>
      <x:c r="E114" s="26"/>
      <x:c r="F114" s="26"/>
      <x:c r="G114" s="26"/>
      <x:c r="H114" s="26"/>
      <x:c r="I114" s="26"/>
      <x:c r="J114" s="14"/>
      <x:c r="K114" s="14"/>
      <x:c r="L114" s="14"/>
      <x:c r="M114" s="14"/>
      <x:c r="N114" s="14"/>
    </x:row>
    <x:row r="115">
      <x:c r="A115" s="14"/>
      <x:c r="B115" s="14"/>
      <x:c r="C115" s="14"/>
      <x:c r="D115" s="14"/>
      <x:c r="E115" s="26"/>
      <x:c r="F115" s="26"/>
      <x:c r="G115" s="26"/>
      <x:c r="H115" s="26"/>
      <x:c r="I115" s="26"/>
      <x:c r="J115" s="14"/>
      <x:c r="K115" s="14"/>
      <x:c r="L115" s="14"/>
      <x:c r="M115" s="14"/>
      <x:c r="N115" s="14"/>
    </x:row>
    <x:row r="116">
      <x:c r="A116" s="14"/>
      <x:c r="B116" s="14"/>
      <x:c r="C116" s="14"/>
      <x:c r="D116" s="14"/>
      <x:c r="E116" s="26"/>
      <x:c r="F116" s="26"/>
      <x:c r="G116" s="26"/>
      <x:c r="H116" s="26"/>
      <x:c r="I116" s="26"/>
      <x:c r="J116" s="14"/>
      <x:c r="K116" s="14"/>
      <x:c r="L116" s="14"/>
      <x:c r="M116" s="14"/>
      <x:c r="N116" s="14"/>
    </x:row>
    <x:row r="117">
      <x:c r="A117" s="14"/>
      <x:c r="B117" s="14"/>
      <x:c r="C117" s="14"/>
      <x:c r="D117" s="14"/>
      <x:c r="E117" s="26"/>
      <x:c r="F117" s="26"/>
      <x:c r="G117" s="26"/>
      <x:c r="H117" s="26"/>
      <x:c r="I117" s="26"/>
      <x:c r="J117" s="14"/>
      <x:c r="K117" s="14"/>
      <x:c r="L117" s="14"/>
      <x:c r="M117" s="14"/>
      <x:c r="N117" s="14"/>
    </x:row>
    <x:row r="118">
      <x:c r="A118" s="14"/>
      <x:c r="B118" s="14"/>
      <x:c r="C118" s="14"/>
      <x:c r="D118" s="14"/>
      <x:c r="E118" s="26"/>
      <x:c r="F118" s="26"/>
      <x:c r="G118" s="26"/>
      <x:c r="H118" s="26"/>
      <x:c r="I118" s="26"/>
      <x:c r="J118" s="14"/>
      <x:c r="K118" s="14"/>
      <x:c r="L118" s="14"/>
      <x:c r="M118" s="14"/>
      <x:c r="N118" s="14"/>
    </x:row>
    <x:row r="119">
      <x:c r="A119" s="14"/>
      <x:c r="B119" s="14"/>
      <x:c r="C119" s="14"/>
      <x:c r="D119" s="14"/>
      <x:c r="E119" s="26"/>
      <x:c r="F119" s="26"/>
      <x:c r="G119" s="26"/>
      <x:c r="H119" s="26"/>
      <x:c r="I119" s="26"/>
      <x:c r="J119" s="14"/>
      <x:c r="K119" s="14"/>
      <x:c r="L119" s="14"/>
      <x:c r="M119" s="14"/>
      <x:c r="N119" s="14"/>
    </x:row>
    <x:row r="120">
      <x:c r="A120" s="14"/>
      <x:c r="B120" s="14"/>
      <x:c r="C120" s="14"/>
      <x:c r="D120" s="14"/>
      <x:c r="E120" s="26"/>
      <x:c r="F120" s="26"/>
      <x:c r="G120" s="26"/>
      <x:c r="H120" s="26"/>
      <x:c r="I120" s="26"/>
      <x:c r="J120" s="14"/>
      <x:c r="K120" s="14"/>
      <x:c r="L120" s="14"/>
      <x:c r="M120" s="14"/>
      <x:c r="N120" s="14"/>
    </x:row>
    <x:row r="121">
      <x:c r="A121" s="14"/>
      <x:c r="B121" s="14"/>
      <x:c r="C121" s="14"/>
      <x:c r="D121" s="14"/>
      <x:c r="E121" s="26"/>
      <x:c r="F121" s="26"/>
      <x:c r="G121" s="26"/>
      <x:c r="H121" s="26"/>
      <x:c r="I121" s="26"/>
      <x:c r="J121" s="14"/>
      <x:c r="K121" s="14"/>
      <x:c r="L121" s="14"/>
      <x:c r="M121" s="14"/>
      <x:c r="N121" s="14"/>
    </x:row>
    <x:row r="122">
      <x:c r="A122" s="14"/>
      <x:c r="B122" s="14"/>
      <x:c r="C122" s="14"/>
      <x:c r="D122" s="14"/>
      <x:c r="E122" s="26"/>
      <x:c r="F122" s="26"/>
      <x:c r="G122" s="26"/>
      <x:c r="H122" s="26"/>
      <x:c r="I122" s="26"/>
      <x:c r="J122" s="14"/>
      <x:c r="K122" s="14"/>
      <x:c r="L122" s="14"/>
      <x:c r="M122" s="14"/>
      <x:c r="N122" s="14"/>
    </x:row>
    <x:row r="123">
      <x:c r="A123" s="14"/>
      <x:c r="B123" s="14"/>
      <x:c r="C123" s="14"/>
      <x:c r="D123" s="14"/>
      <x:c r="E123" s="26"/>
      <x:c r="F123" s="26"/>
      <x:c r="G123" s="26"/>
      <x:c r="H123" s="26"/>
      <x:c r="I123" s="26"/>
      <x:c r="J123" s="14"/>
      <x:c r="K123" s="14"/>
      <x:c r="L123" s="14"/>
      <x:c r="M123" s="14"/>
      <x:c r="N123" s="14"/>
    </x:row>
    <x:row r="124">
      <x:c r="A124" s="14"/>
      <x:c r="B124" s="14"/>
      <x:c r="C124" s="14"/>
      <x:c r="D124" s="14"/>
      <x:c r="E124" s="26"/>
      <x:c r="F124" s="26"/>
      <x:c r="G124" s="26"/>
      <x:c r="H124" s="26"/>
      <x:c r="I124" s="26"/>
      <x:c r="J124" s="14"/>
      <x:c r="K124" s="14"/>
      <x:c r="L124" s="14"/>
      <x:c r="M124" s="14"/>
      <x:c r="N124" s="14"/>
    </x:row>
    <x:row r="125">
      <x:c r="A125" s="14"/>
      <x:c r="B125" s="14"/>
      <x:c r="C125" s="14"/>
      <x:c r="D125" s="14"/>
      <x:c r="E125" s="26"/>
      <x:c r="F125" s="26"/>
      <x:c r="G125" s="26"/>
      <x:c r="H125" s="26"/>
      <x:c r="I125" s="26"/>
      <x:c r="J125" s="14"/>
      <x:c r="K125" s="14"/>
      <x:c r="L125" s="14"/>
      <x:c r="M125" s="14"/>
      <x:c r="N125" s="14"/>
    </x:row>
    <x:row r="126">
      <x:c r="A126" s="14"/>
      <x:c r="B126" s="14"/>
      <x:c r="C126" s="14"/>
      <x:c r="D126" s="14"/>
      <x:c r="E126" s="26"/>
      <x:c r="F126" s="26"/>
      <x:c r="G126" s="26"/>
      <x:c r="H126" s="26"/>
      <x:c r="I126" s="26"/>
      <x:c r="J126" s="14"/>
      <x:c r="K126" s="14"/>
      <x:c r="L126" s="14"/>
      <x:c r="M126" s="14"/>
      <x:c r="N126" s="14"/>
    </x:row>
    <x:row r="127">
      <x:c r="A127" s="14"/>
      <x:c r="B127" s="14"/>
      <x:c r="C127" s="14"/>
      <x:c r="D127" s="14"/>
      <x:c r="E127" s="26"/>
      <x:c r="F127" s="26"/>
      <x:c r="G127" s="26"/>
      <x:c r="H127" s="26"/>
      <x:c r="I127" s="26"/>
      <x:c r="J127" s="14"/>
      <x:c r="K127" s="14"/>
      <x:c r="L127" s="14"/>
      <x:c r="M127" s="14"/>
      <x:c r="N127" s="14"/>
    </x:row>
    <x:row r="128">
      <x:c r="A128" s="14"/>
      <x:c r="B128" s="14"/>
      <x:c r="C128" s="14"/>
      <x:c r="D128" s="14"/>
      <x:c r="E128" s="26"/>
      <x:c r="F128" s="26"/>
      <x:c r="G128" s="26"/>
      <x:c r="H128" s="26"/>
      <x:c r="I128" s="26"/>
      <x:c r="J128" s="14"/>
      <x:c r="K128" s="14"/>
      <x:c r="L128" s="14"/>
      <x:c r="M128" s="14"/>
      <x:c r="N128" s="14"/>
    </x:row>
    <x:row r="129">
      <x:c r="A129" s="14"/>
      <x:c r="B129" s="14"/>
      <x:c r="C129" s="14"/>
      <x:c r="D129" s="14"/>
      <x:c r="E129" s="26"/>
      <x:c r="F129" s="26"/>
      <x:c r="G129" s="26"/>
      <x:c r="H129" s="26"/>
      <x:c r="I129" s="26"/>
      <x:c r="J129" s="14"/>
      <x:c r="K129" s="14"/>
      <x:c r="L129" s="14"/>
      <x:c r="M129" s="14"/>
      <x:c r="N129" s="14"/>
    </x:row>
    <x:row r="130">
      <x:c r="A130" s="14"/>
      <x:c r="B130" s="14"/>
      <x:c r="C130" s="14"/>
      <x:c r="D130" s="14"/>
      <x:c r="E130" s="26"/>
      <x:c r="F130" s="26"/>
      <x:c r="G130" s="26"/>
      <x:c r="H130" s="26"/>
      <x:c r="I130" s="26"/>
      <x:c r="J130" s="14"/>
      <x:c r="K130" s="14"/>
      <x:c r="L130" s="14"/>
      <x:c r="M130" s="14"/>
      <x:c r="N130" s="14"/>
    </x:row>
    <x:row r="131">
      <x:c r="A131" s="14"/>
      <x:c r="B131" s="14"/>
      <x:c r="C131" s="14"/>
      <x:c r="D131" s="14"/>
      <x:c r="E131" s="26"/>
      <x:c r="F131" s="26"/>
      <x:c r="G131" s="26"/>
      <x:c r="H131" s="26"/>
      <x:c r="I131" s="26"/>
      <x:c r="J131" s="14"/>
      <x:c r="K131" s="14"/>
      <x:c r="L131" s="14"/>
      <x:c r="M131" s="14"/>
      <x:c r="N131" s="14"/>
    </x:row>
    <x:row r="132">
      <x:c r="A132" s="14"/>
      <x:c r="B132" s="14"/>
      <x:c r="C132" s="14"/>
      <x:c r="D132" s="14"/>
      <x:c r="E132" s="26"/>
      <x:c r="F132" s="26"/>
      <x:c r="G132" s="26"/>
      <x:c r="H132" s="26"/>
      <x:c r="I132" s="26"/>
      <x:c r="J132" s="14"/>
      <x:c r="K132" s="14"/>
      <x:c r="L132" s="14"/>
      <x:c r="M132" s="14"/>
      <x:c r="N132" s="14"/>
    </x:row>
    <x:row r="133">
      <x:c r="A133" s="14"/>
      <x:c r="B133" s="14"/>
      <x:c r="C133" s="14"/>
      <x:c r="D133" s="14"/>
      <x:c r="E133" s="26"/>
      <x:c r="F133" s="26"/>
      <x:c r="G133" s="26"/>
      <x:c r="H133" s="26"/>
      <x:c r="I133" s="26"/>
      <x:c r="J133" s="14"/>
      <x:c r="K133" s="14"/>
      <x:c r="L133" s="14"/>
      <x:c r="M133" s="14"/>
      <x:c r="N133" s="14"/>
    </x:row>
    <x:row r="134">
      <x:c r="A134" s="14"/>
      <x:c r="B134" s="14"/>
      <x:c r="C134" s="14"/>
      <x:c r="D134" s="14"/>
      <x:c r="E134" s="26"/>
      <x:c r="F134" s="26"/>
      <x:c r="G134" s="26"/>
      <x:c r="H134" s="26"/>
      <x:c r="I134" s="26"/>
      <x:c r="J134" s="14"/>
      <x:c r="K134" s="14"/>
      <x:c r="L134" s="14"/>
      <x:c r="M134" s="14"/>
      <x:c r="N134" s="14"/>
    </x:row>
    <x:row r="135">
      <x:c r="A135" s="14"/>
      <x:c r="B135" s="14"/>
      <x:c r="C135" s="14"/>
      <x:c r="D135" s="14"/>
      <x:c r="E135" s="26"/>
      <x:c r="F135" s="26"/>
      <x:c r="G135" s="26"/>
      <x:c r="H135" s="26"/>
      <x:c r="I135" s="26"/>
      <x:c r="J135" s="14"/>
      <x:c r="K135" s="14"/>
      <x:c r="L135" s="14"/>
      <x:c r="M135" s="14"/>
      <x:c r="N135" s="14"/>
    </x:row>
    <x:row r="136">
      <x:c r="A136" s="14"/>
      <x:c r="B136" s="14"/>
      <x:c r="C136" s="14"/>
      <x:c r="D136" s="14"/>
      <x:c r="E136" s="26"/>
      <x:c r="F136" s="26"/>
      <x:c r="G136" s="26"/>
      <x:c r="H136" s="26"/>
      <x:c r="I136" s="26"/>
      <x:c r="J136" s="14"/>
      <x:c r="K136" s="14"/>
      <x:c r="L136" s="14"/>
      <x:c r="M136" s="14"/>
      <x:c r="N136" s="14"/>
    </x:row>
    <x:row r="137">
      <x:c r="A137" s="14"/>
      <x:c r="B137" s="14"/>
      <x:c r="C137" s="14"/>
      <x:c r="D137" s="14"/>
      <x:c r="E137" s="26"/>
      <x:c r="F137" s="26"/>
      <x:c r="G137" s="26"/>
      <x:c r="H137" s="26"/>
      <x:c r="I137" s="26"/>
      <x:c r="J137" s="14"/>
      <x:c r="K137" s="14"/>
      <x:c r="L137" s="14"/>
      <x:c r="M137" s="14"/>
      <x:c r="N137" s="14"/>
    </x:row>
    <x:row r="138">
      <x:c r="A138" s="14"/>
      <x:c r="B138" s="14"/>
      <x:c r="C138" s="14"/>
      <x:c r="D138" s="14"/>
      <x:c r="E138" s="26"/>
      <x:c r="F138" s="26"/>
      <x:c r="G138" s="26"/>
      <x:c r="H138" s="26"/>
      <x:c r="I138" s="26"/>
      <x:c r="J138" s="14"/>
      <x:c r="K138" s="14"/>
      <x:c r="L138" s="14"/>
      <x:c r="M138" s="14"/>
      <x:c r="N138" s="14"/>
    </x:row>
    <x:row r="139">
      <x:c r="A139" s="14"/>
      <x:c r="B139" s="14"/>
      <x:c r="C139" s="14"/>
      <x:c r="D139" s="14"/>
      <x:c r="E139" s="26"/>
      <x:c r="F139" s="26"/>
      <x:c r="G139" s="26"/>
      <x:c r="H139" s="26"/>
      <x:c r="I139" s="26"/>
      <x:c r="J139" s="14"/>
      <x:c r="K139" s="14"/>
      <x:c r="L139" s="14"/>
      <x:c r="M139" s="14"/>
      <x:c r="N139" s="14"/>
    </x:row>
    <x:row r="140">
      <x:c r="A140" s="14"/>
      <x:c r="B140" s="14"/>
      <x:c r="C140" s="14"/>
      <x:c r="D140" s="14"/>
      <x:c r="E140" s="26"/>
      <x:c r="F140" s="26"/>
      <x:c r="G140" s="26"/>
      <x:c r="H140" s="26"/>
      <x:c r="I140" s="26"/>
      <x:c r="J140" s="14"/>
      <x:c r="K140" s="14"/>
      <x:c r="L140" s="14"/>
      <x:c r="M140" s="14"/>
      <x:c r="N140" s="14"/>
    </x:row>
    <x:row r="141">
      <x:c r="A141" s="14"/>
      <x:c r="B141" s="14"/>
      <x:c r="C141" s="14"/>
      <x:c r="D141" s="14"/>
      <x:c r="E141" s="26"/>
      <x:c r="F141" s="26"/>
      <x:c r="G141" s="26"/>
      <x:c r="H141" s="26"/>
      <x:c r="I141" s="26"/>
      <x:c r="J141" s="14"/>
      <x:c r="K141" s="14"/>
      <x:c r="L141" s="14"/>
      <x:c r="M141" s="14"/>
      <x:c r="N141" s="14"/>
    </x:row>
    <x:row r="142">
      <x:c r="A142" s="14"/>
      <x:c r="B142" s="14"/>
      <x:c r="C142" s="14"/>
      <x:c r="D142" s="14"/>
      <x:c r="E142" s="26"/>
      <x:c r="F142" s="26"/>
      <x:c r="G142" s="26"/>
      <x:c r="H142" s="26"/>
      <x:c r="I142" s="26"/>
      <x:c r="J142" s="14"/>
      <x:c r="K142" s="14"/>
      <x:c r="L142" s="14"/>
      <x:c r="M142" s="14"/>
      <x:c r="N142" s="14"/>
    </x:row>
    <x:row r="143">
      <x:c r="A143" s="14"/>
      <x:c r="B143" s="14"/>
      <x:c r="C143" s="14"/>
      <x:c r="D143" s="14"/>
      <x:c r="E143" s="26"/>
      <x:c r="F143" s="26"/>
      <x:c r="G143" s="26"/>
      <x:c r="H143" s="26"/>
      <x:c r="I143" s="26"/>
      <x:c r="J143" s="14"/>
      <x:c r="K143" s="14"/>
      <x:c r="L143" s="14"/>
      <x:c r="M143" s="14"/>
      <x:c r="N143" s="14"/>
    </x:row>
    <x:row r="144">
      <x:c r="A144" s="14"/>
      <x:c r="B144" s="14"/>
      <x:c r="C144" s="14"/>
      <x:c r="D144" s="14"/>
      <x:c r="E144" s="26"/>
      <x:c r="F144" s="26"/>
      <x:c r="G144" s="26"/>
      <x:c r="H144" s="26"/>
      <x:c r="I144" s="26"/>
      <x:c r="J144" s="14"/>
      <x:c r="K144" s="14"/>
      <x:c r="L144" s="14"/>
      <x:c r="M144" s="14"/>
      <x:c r="N144" s="14"/>
    </x:row>
    <x:row r="145">
      <x:c r="A145" s="14"/>
      <x:c r="B145" s="14"/>
      <x:c r="C145" s="14"/>
      <x:c r="D145" s="14"/>
      <x:c r="E145" s="26"/>
      <x:c r="F145" s="26"/>
      <x:c r="G145" s="26"/>
      <x:c r="H145" s="26"/>
      <x:c r="I145" s="26"/>
      <x:c r="J145" s="14"/>
      <x:c r="K145" s="14"/>
      <x:c r="L145" s="14"/>
      <x:c r="M145" s="14"/>
      <x:c r="N145" s="14"/>
    </x:row>
    <x:row r="146">
      <x:c r="A146" s="14"/>
      <x:c r="B146" s="14"/>
      <x:c r="C146" s="14"/>
      <x:c r="D146" s="14"/>
      <x:c r="E146" s="26"/>
      <x:c r="F146" s="26"/>
      <x:c r="G146" s="26"/>
      <x:c r="H146" s="26"/>
      <x:c r="I146" s="26"/>
      <x:c r="J146" s="14"/>
      <x:c r="K146" s="14"/>
      <x:c r="L146" s="14"/>
      <x:c r="M146" s="14"/>
      <x:c r="N146" s="14"/>
    </x:row>
    <x:row r="147">
      <x:c r="A147" s="14"/>
      <x:c r="B147" s="14"/>
      <x:c r="C147" s="14"/>
      <x:c r="D147" s="14"/>
      <x:c r="E147" s="26"/>
      <x:c r="F147" s="26"/>
      <x:c r="G147" s="26"/>
      <x:c r="H147" s="26"/>
      <x:c r="I147" s="26"/>
      <x:c r="J147" s="14"/>
      <x:c r="K147" s="14"/>
      <x:c r="L147" s="14"/>
      <x:c r="M147" s="14"/>
      <x:c r="N147" s="14"/>
    </x:row>
    <x:row r="148">
      <x:c r="A148" s="14"/>
      <x:c r="B148" s="14"/>
      <x:c r="C148" s="14"/>
      <x:c r="D148" s="14"/>
      <x:c r="E148" s="26"/>
      <x:c r="F148" s="26"/>
      <x:c r="G148" s="26"/>
      <x:c r="H148" s="26"/>
      <x:c r="I148" s="26"/>
      <x:c r="J148" s="14"/>
      <x:c r="K148" s="14"/>
      <x:c r="L148" s="14"/>
      <x:c r="M148" s="14"/>
      <x:c r="N148" s="14"/>
    </x:row>
    <x:row r="149">
      <x:c r="A149" s="14"/>
      <x:c r="B149" s="14"/>
      <x:c r="C149" s="14"/>
      <x:c r="D149" s="14"/>
      <x:c r="E149" s="26"/>
      <x:c r="F149" s="26"/>
      <x:c r="G149" s="26"/>
      <x:c r="H149" s="26"/>
      <x:c r="I149" s="26"/>
      <x:c r="J149" s="14"/>
      <x:c r="K149" s="14"/>
      <x:c r="L149" s="14"/>
      <x:c r="M149" s="14"/>
      <x:c r="N149" s="14"/>
    </x:row>
    <x:row r="150">
      <x:c r="A150" s="14"/>
      <x:c r="B150" s="14"/>
      <x:c r="C150" s="14"/>
      <x:c r="D150" s="14"/>
      <x:c r="E150" s="26"/>
      <x:c r="F150" s="26"/>
      <x:c r="G150" s="26"/>
      <x:c r="H150" s="26"/>
      <x:c r="I150" s="26"/>
      <x:c r="J150" s="14"/>
      <x:c r="K150" s="14"/>
      <x:c r="L150" s="14"/>
      <x:c r="M150" s="14"/>
      <x:c r="N150" s="14"/>
    </x:row>
    <x:row r="151">
      <x:c r="A151" s="14"/>
      <x:c r="B151" s="14"/>
      <x:c r="C151" s="14"/>
      <x:c r="D151" s="14"/>
      <x:c r="E151" s="26"/>
      <x:c r="F151" s="26"/>
      <x:c r="G151" s="26"/>
      <x:c r="H151" s="26"/>
      <x:c r="I151" s="26"/>
      <x:c r="J151" s="14"/>
      <x:c r="K151" s="14"/>
      <x:c r="L151" s="14"/>
      <x:c r="M151" s="14"/>
      <x:c r="N151" s="14"/>
    </x:row>
    <x:row r="152">
      <x:c r="A152" s="14"/>
      <x:c r="B152" s="14"/>
      <x:c r="C152" s="14"/>
      <x:c r="D152" s="14"/>
      <x:c r="E152" s="26"/>
      <x:c r="F152" s="26"/>
      <x:c r="G152" s="26"/>
      <x:c r="H152" s="26"/>
      <x:c r="I152" s="26"/>
      <x:c r="J152" s="14"/>
      <x:c r="K152" s="14"/>
      <x:c r="L152" s="14"/>
      <x:c r="M152" s="14"/>
      <x:c r="N152" s="14"/>
    </x:row>
    <x:row r="153">
      <x:c r="A153" s="14"/>
      <x:c r="B153" s="14"/>
      <x:c r="C153" s="14"/>
      <x:c r="D153" s="14"/>
      <x:c r="E153" s="26"/>
      <x:c r="F153" s="26"/>
      <x:c r="G153" s="26"/>
      <x:c r="H153" s="26"/>
      <x:c r="I153" s="26"/>
      <x:c r="J153" s="14"/>
      <x:c r="K153" s="14"/>
      <x:c r="L153" s="14"/>
      <x:c r="M153" s="14"/>
      <x:c r="N153" s="14"/>
    </x:row>
    <x:row r="154">
      <x:c r="A154" s="14"/>
      <x:c r="B154" s="14"/>
      <x:c r="C154" s="14"/>
      <x:c r="D154" s="14"/>
      <x:c r="E154" s="26"/>
      <x:c r="F154" s="26"/>
      <x:c r="G154" s="26"/>
      <x:c r="H154" s="26"/>
      <x:c r="I154" s="26"/>
      <x:c r="J154" s="14"/>
      <x:c r="K154" s="14"/>
      <x:c r="L154" s="14"/>
      <x:c r="M154" s="14"/>
      <x:c r="N154" s="14"/>
    </x:row>
    <x:row r="155">
      <x:c r="A155" s="14"/>
      <x:c r="B155" s="14"/>
      <x:c r="C155" s="14"/>
      <x:c r="D155" s="14"/>
      <x:c r="E155" s="26"/>
      <x:c r="F155" s="26"/>
      <x:c r="G155" s="26"/>
      <x:c r="H155" s="26"/>
      <x:c r="I155" s="26"/>
      <x:c r="J155" s="14"/>
      <x:c r="K155" s="14"/>
      <x:c r="L155" s="14"/>
      <x:c r="M155" s="14"/>
      <x:c r="N155" s="14"/>
    </x:row>
    <x:row r="156">
      <x:c r="A156" s="14"/>
      <x:c r="B156" s="14"/>
      <x:c r="C156" s="14"/>
      <x:c r="D156" s="14"/>
      <x:c r="E156" s="26"/>
      <x:c r="F156" s="26"/>
      <x:c r="G156" s="26"/>
      <x:c r="H156" s="26"/>
      <x:c r="I156" s="26"/>
      <x:c r="J156" s="14"/>
      <x:c r="K156" s="14"/>
      <x:c r="L156" s="14"/>
      <x:c r="M156" s="14"/>
      <x:c r="N156" s="14"/>
    </x:row>
    <x:row r="157">
      <x:c r="A157" s="14"/>
      <x:c r="B157" s="14"/>
      <x:c r="C157" s="14"/>
      <x:c r="D157" s="14"/>
      <x:c r="E157" s="26"/>
      <x:c r="F157" s="26"/>
      <x:c r="G157" s="26"/>
      <x:c r="H157" s="26"/>
      <x:c r="I157" s="26"/>
      <x:c r="J157" s="14"/>
      <x:c r="K157" s="14"/>
      <x:c r="L157" s="14"/>
      <x:c r="M157" s="14"/>
      <x:c r="N157" s="14"/>
    </x:row>
    <x:row r="158">
      <x:c r="A158" s="14"/>
      <x:c r="B158" s="14"/>
      <x:c r="C158" s="14"/>
      <x:c r="D158" s="14"/>
      <x:c r="E158" s="26"/>
      <x:c r="F158" s="26"/>
      <x:c r="G158" s="26"/>
      <x:c r="H158" s="26"/>
      <x:c r="I158" s="26"/>
      <x:c r="J158" s="14"/>
      <x:c r="K158" s="14"/>
      <x:c r="L158" s="14"/>
      <x:c r="M158" s="14"/>
      <x:c r="N158" s="14"/>
    </x:row>
    <x:row r="159">
      <x:c r="A159" s="14"/>
      <x:c r="B159" s="14"/>
      <x:c r="C159" s="14"/>
      <x:c r="D159" s="14"/>
      <x:c r="E159" s="26"/>
      <x:c r="F159" s="26"/>
      <x:c r="G159" s="26"/>
      <x:c r="H159" s="26"/>
      <x:c r="I159" s="26"/>
      <x:c r="J159" s="14"/>
      <x:c r="K159" s="14"/>
      <x:c r="L159" s="14"/>
      <x:c r="M159" s="14"/>
      <x:c r="N159" s="14"/>
    </x:row>
    <x:row r="160">
      <x:c r="A160" s="14"/>
      <x:c r="B160" s="14"/>
      <x:c r="C160" s="14"/>
      <x:c r="D160" s="14"/>
      <x:c r="E160" s="26"/>
      <x:c r="F160" s="26"/>
      <x:c r="G160" s="26"/>
      <x:c r="H160" s="26"/>
      <x:c r="I160" s="26"/>
      <x:c r="J160" s="14"/>
      <x:c r="K160" s="14"/>
      <x:c r="L160" s="14"/>
      <x:c r="M160" s="14"/>
      <x:c r="N160" s="14"/>
    </x:row>
    <x:row r="161">
      <x:c r="A161" s="14"/>
      <x:c r="B161" s="14"/>
      <x:c r="C161" s="14"/>
      <x:c r="D161" s="14"/>
      <x:c r="E161" s="26"/>
      <x:c r="F161" s="26"/>
      <x:c r="G161" s="26"/>
      <x:c r="H161" s="26"/>
      <x:c r="I161" s="26"/>
      <x:c r="J161" s="14"/>
      <x:c r="K161" s="14"/>
      <x:c r="L161" s="14"/>
      <x:c r="M161" s="14"/>
      <x:c r="N161" s="14"/>
    </x:row>
    <x:row r="162">
      <x:c r="A162" s="14"/>
      <x:c r="B162" s="14"/>
      <x:c r="C162" s="14"/>
      <x:c r="D162" s="14"/>
      <x:c r="E162" s="26"/>
      <x:c r="F162" s="26"/>
      <x:c r="G162" s="26"/>
      <x:c r="H162" s="26"/>
      <x:c r="I162" s="26"/>
      <x:c r="J162" s="14"/>
      <x:c r="K162" s="14"/>
      <x:c r="L162" s="14"/>
      <x:c r="M162" s="14"/>
      <x:c r="N162" s="14"/>
    </x:row>
    <x:row r="163">
      <x:c r="A163" s="14"/>
      <x:c r="B163" s="14"/>
      <x:c r="C163" s="14"/>
      <x:c r="D163" s="14"/>
      <x:c r="E163" s="26"/>
      <x:c r="F163" s="26"/>
      <x:c r="G163" s="26"/>
      <x:c r="H163" s="26"/>
      <x:c r="I163" s="26"/>
      <x:c r="J163" s="14"/>
      <x:c r="K163" s="14"/>
      <x:c r="L163" s="14"/>
      <x:c r="M163" s="14"/>
      <x:c r="N163" s="14"/>
    </x:row>
    <x:row r="164">
      <x:c r="A164" s="14"/>
      <x:c r="B164" s="14"/>
      <x:c r="C164" s="14"/>
      <x:c r="D164" s="14"/>
      <x:c r="E164" s="26"/>
      <x:c r="F164" s="26"/>
      <x:c r="G164" s="26"/>
      <x:c r="H164" s="26"/>
      <x:c r="I164" s="26"/>
      <x:c r="J164" s="14"/>
      <x:c r="K164" s="14"/>
      <x:c r="L164" s="14"/>
      <x:c r="M164" s="14"/>
      <x:c r="N164" s="14"/>
    </x:row>
    <x:row r="165">
      <x:c r="A165" s="14"/>
      <x:c r="B165" s="14"/>
      <x:c r="C165" s="14"/>
      <x:c r="D165" s="14"/>
      <x:c r="E165" s="26"/>
      <x:c r="F165" s="26"/>
      <x:c r="G165" s="26"/>
      <x:c r="H165" s="26"/>
      <x:c r="I165" s="26"/>
      <x:c r="J165" s="14"/>
      <x:c r="K165" s="14"/>
      <x:c r="L165" s="14"/>
      <x:c r="M165" s="14"/>
      <x:c r="N165" s="14"/>
    </x:row>
    <x:row r="166">
      <x:c r="A166" s="14"/>
      <x:c r="B166" s="14"/>
      <x:c r="C166" s="14"/>
      <x:c r="D166" s="14"/>
      <x:c r="E166" s="26"/>
      <x:c r="F166" s="26"/>
      <x:c r="G166" s="26"/>
      <x:c r="H166" s="26"/>
      <x:c r="I166" s="26"/>
      <x:c r="J166" s="14"/>
      <x:c r="K166" s="14"/>
      <x:c r="L166" s="14"/>
      <x:c r="M166" s="14"/>
      <x:c r="N166" s="14"/>
    </x:row>
    <x:row r="167">
      <x:c r="A167" s="14"/>
      <x:c r="B167" s="14"/>
      <x:c r="C167" s="14"/>
      <x:c r="D167" s="14"/>
      <x:c r="E167" s="26"/>
      <x:c r="F167" s="26"/>
      <x:c r="G167" s="26"/>
      <x:c r="H167" s="26"/>
      <x:c r="I167" s="26"/>
      <x:c r="J167" s="14"/>
      <x:c r="K167" s="14"/>
      <x:c r="L167" s="14"/>
      <x:c r="M167" s="14"/>
      <x:c r="N167" s="14"/>
    </x:row>
    <x:row r="168">
      <x:c r="A168" s="14"/>
      <x:c r="B168" s="14"/>
      <x:c r="C168" s="14"/>
      <x:c r="D168" s="14"/>
      <x:c r="E168" s="26"/>
      <x:c r="F168" s="26"/>
      <x:c r="G168" s="26"/>
      <x:c r="H168" s="26"/>
      <x:c r="I168" s="26"/>
      <x:c r="J168" s="14"/>
      <x:c r="K168" s="14"/>
      <x:c r="L168" s="14"/>
      <x:c r="M168" s="14"/>
      <x:c r="N168" s="14"/>
    </x:row>
    <x:row r="169">
      <x:c r="A169" s="14"/>
      <x:c r="B169" s="14"/>
      <x:c r="C169" s="14"/>
      <x:c r="D169" s="14"/>
      <x:c r="E169" s="26"/>
      <x:c r="F169" s="26"/>
      <x:c r="G169" s="26"/>
      <x:c r="H169" s="26"/>
      <x:c r="I169" s="26"/>
      <x:c r="J169" s="14"/>
      <x:c r="K169" s="14"/>
      <x:c r="L169" s="14"/>
      <x:c r="M169" s="14"/>
      <x:c r="N169" s="14"/>
    </x:row>
    <x:row r="170">
      <x:c r="A170" s="14"/>
      <x:c r="B170" s="14"/>
      <x:c r="C170" s="14"/>
      <x:c r="D170" s="14"/>
      <x:c r="E170" s="26"/>
      <x:c r="F170" s="26"/>
      <x:c r="G170" s="26"/>
      <x:c r="H170" s="26"/>
      <x:c r="I170" s="26"/>
      <x:c r="J170" s="14"/>
      <x:c r="K170" s="14"/>
      <x:c r="L170" s="14"/>
      <x:c r="M170" s="14"/>
      <x:c r="N170" s="14"/>
    </x:row>
    <x:row r="171">
      <x:c r="A171" s="14"/>
      <x:c r="B171" s="14"/>
      <x:c r="C171" s="14"/>
      <x:c r="D171" s="14"/>
      <x:c r="E171" s="26"/>
      <x:c r="F171" s="26"/>
      <x:c r="G171" s="26"/>
      <x:c r="H171" s="26"/>
      <x:c r="I171" s="26"/>
      <x:c r="J171" s="14"/>
      <x:c r="K171" s="14"/>
      <x:c r="L171" s="14"/>
      <x:c r="M171" s="14"/>
      <x:c r="N171" s="14"/>
    </x:row>
    <x:row r="172">
      <x:c r="A172" s="14"/>
      <x:c r="B172" s="14"/>
      <x:c r="C172" s="14"/>
      <x:c r="D172" s="14"/>
      <x:c r="E172" s="26"/>
      <x:c r="F172" s="26"/>
      <x:c r="G172" s="26"/>
      <x:c r="H172" s="26"/>
      <x:c r="I172" s="26"/>
      <x:c r="J172" s="14"/>
      <x:c r="K172" s="14"/>
      <x:c r="L172" s="14"/>
      <x:c r="M172" s="14"/>
      <x:c r="N172" s="14"/>
    </x:row>
    <x:row r="173">
      <x:c r="A173" s="14"/>
      <x:c r="B173" s="14"/>
      <x:c r="C173" s="14"/>
      <x:c r="D173" s="14"/>
      <x:c r="E173" s="26"/>
      <x:c r="F173" s="26"/>
      <x:c r="G173" s="26"/>
      <x:c r="H173" s="26"/>
      <x:c r="I173" s="26"/>
      <x:c r="J173" s="14"/>
      <x:c r="K173" s="14"/>
      <x:c r="L173" s="14"/>
      <x:c r="M173" s="14"/>
      <x:c r="N173" s="14"/>
    </x:row>
    <x:row r="174">
      <x:c r="A174" s="14"/>
      <x:c r="B174" s="14"/>
      <x:c r="C174" s="14"/>
      <x:c r="D174" s="14"/>
      <x:c r="E174" s="26"/>
      <x:c r="F174" s="26"/>
      <x:c r="G174" s="26"/>
      <x:c r="H174" s="26"/>
      <x:c r="I174" s="26"/>
      <x:c r="J174" s="14"/>
      <x:c r="K174" s="14"/>
      <x:c r="L174" s="14"/>
      <x:c r="M174" s="14"/>
      <x:c r="N174" s="14"/>
    </x:row>
    <x:row r="175">
      <x:c r="A175" s="14"/>
      <x:c r="B175" s="14"/>
      <x:c r="C175" s="14"/>
      <x:c r="D175" s="14"/>
      <x:c r="E175" s="26"/>
      <x:c r="F175" s="26"/>
      <x:c r="G175" s="26"/>
      <x:c r="H175" s="26"/>
      <x:c r="I175" s="26"/>
      <x:c r="J175" s="14"/>
      <x:c r="K175" s="14"/>
      <x:c r="L175" s="14"/>
      <x:c r="M175" s="14"/>
      <x:c r="N175" s="14"/>
    </x:row>
    <x:row r="176">
      <x:c r="A176" s="14"/>
      <x:c r="B176" s="14"/>
      <x:c r="C176" s="14"/>
      <x:c r="D176" s="14"/>
      <x:c r="E176" s="26"/>
      <x:c r="F176" s="26"/>
      <x:c r="G176" s="26"/>
      <x:c r="H176" s="26"/>
      <x:c r="I176" s="26"/>
      <x:c r="J176" s="14"/>
      <x:c r="K176" s="14"/>
      <x:c r="L176" s="14"/>
      <x:c r="M176" s="14"/>
      <x:c r="N176" s="14"/>
    </x:row>
    <x:row r="177">
      <x:c r="A177" s="14"/>
      <x:c r="B177" s="14"/>
      <x:c r="C177" s="14"/>
      <x:c r="D177" s="14"/>
      <x:c r="E177" s="26"/>
      <x:c r="F177" s="26"/>
      <x:c r="G177" s="26"/>
      <x:c r="H177" s="26"/>
      <x:c r="I177" s="26"/>
      <x:c r="J177" s="14"/>
      <x:c r="K177" s="14"/>
      <x:c r="L177" s="14"/>
      <x:c r="M177" s="14"/>
      <x:c r="N177" s="14"/>
    </x:row>
    <x:row r="178">
      <x:c r="A178" s="14"/>
      <x:c r="B178" s="14"/>
      <x:c r="C178" s="14"/>
      <x:c r="D178" s="14"/>
      <x:c r="E178" s="26"/>
      <x:c r="F178" s="26"/>
      <x:c r="G178" s="26"/>
      <x:c r="H178" s="26"/>
      <x:c r="I178" s="26"/>
      <x:c r="J178" s="14"/>
      <x:c r="K178" s="14"/>
      <x:c r="L178" s="14"/>
      <x:c r="M178" s="14"/>
      <x:c r="N178" s="14"/>
    </x:row>
    <x:row r="179">
      <x:c r="A179" s="14"/>
      <x:c r="B179" s="14"/>
      <x:c r="C179" s="14"/>
      <x:c r="D179" s="14"/>
      <x:c r="E179" s="26"/>
      <x:c r="F179" s="26"/>
      <x:c r="G179" s="26"/>
      <x:c r="H179" s="26"/>
      <x:c r="I179" s="26"/>
      <x:c r="J179" s="14"/>
      <x:c r="K179" s="14"/>
      <x:c r="L179" s="14"/>
      <x:c r="M179" s="14"/>
      <x:c r="N179" s="14"/>
    </x:row>
    <x:row r="180">
      <x:c r="A180" s="14"/>
      <x:c r="B180" s="14"/>
      <x:c r="C180" s="14"/>
      <x:c r="D180" s="14"/>
      <x:c r="E180" s="26"/>
      <x:c r="F180" s="26"/>
      <x:c r="G180" s="26"/>
      <x:c r="H180" s="26"/>
      <x:c r="I180" s="26"/>
      <x:c r="J180" s="14"/>
      <x:c r="K180" s="14"/>
      <x:c r="L180" s="14"/>
      <x:c r="M180" s="14"/>
      <x:c r="N180" s="14"/>
    </x:row>
    <x:row r="181">
      <x:c r="A181" s="14"/>
      <x:c r="B181" s="14"/>
      <x:c r="C181" s="14"/>
      <x:c r="D181" s="14"/>
      <x:c r="E181" s="26"/>
      <x:c r="F181" s="26"/>
      <x:c r="G181" s="26"/>
      <x:c r="H181" s="26"/>
      <x:c r="I181" s="26"/>
      <x:c r="J181" s="14"/>
      <x:c r="K181" s="14"/>
      <x:c r="L181" s="14"/>
      <x:c r="M181" s="14"/>
      <x:c r="N181" s="14"/>
    </x:row>
    <x:row r="182">
      <x:c r="A182" s="14"/>
      <x:c r="B182" s="14"/>
      <x:c r="C182" s="14"/>
      <x:c r="D182" s="14"/>
      <x:c r="E182" s="26"/>
      <x:c r="F182" s="26"/>
      <x:c r="G182" s="26"/>
      <x:c r="H182" s="26"/>
      <x:c r="I182" s="26"/>
      <x:c r="J182" s="14"/>
      <x:c r="K182" s="14"/>
      <x:c r="L182" s="14"/>
      <x:c r="M182" s="14"/>
      <x:c r="N182" s="14"/>
    </x:row>
    <x:row r="183">
      <x:c r="A183" s="14"/>
      <x:c r="B183" s="14"/>
      <x:c r="C183" s="14"/>
      <x:c r="D183" s="14"/>
      <x:c r="E183" s="26"/>
      <x:c r="F183" s="26"/>
      <x:c r="G183" s="26"/>
      <x:c r="H183" s="26"/>
      <x:c r="I183" s="26"/>
      <x:c r="J183" s="14"/>
      <x:c r="K183" s="14"/>
      <x:c r="L183" s="14"/>
      <x:c r="M183" s="14"/>
      <x:c r="N183" s="14"/>
    </x:row>
    <x:row r="184">
      <x:c r="A184" s="14"/>
      <x:c r="B184" s="14"/>
      <x:c r="C184" s="14"/>
      <x:c r="D184" s="14"/>
      <x:c r="E184" s="26"/>
      <x:c r="F184" s="26"/>
      <x:c r="G184" s="26"/>
      <x:c r="H184" s="26"/>
      <x:c r="I184" s="26"/>
      <x:c r="J184" s="14"/>
      <x:c r="K184" s="14"/>
      <x:c r="L184" s="14"/>
      <x:c r="M184" s="14"/>
      <x:c r="N184" s="14"/>
    </x:row>
    <x:row r="185">
      <x:c r="A185" s="14"/>
      <x:c r="B185" s="14"/>
      <x:c r="C185" s="14"/>
      <x:c r="D185" s="14"/>
      <x:c r="E185" s="26"/>
      <x:c r="F185" s="26"/>
      <x:c r="G185" s="26"/>
      <x:c r="H185" s="26"/>
      <x:c r="I185" s="26"/>
      <x:c r="J185" s="14"/>
      <x:c r="K185" s="14"/>
      <x:c r="L185" s="14"/>
      <x:c r="M185" s="14"/>
      <x:c r="N185" s="14"/>
    </x:row>
    <x:row r="186">
      <x:c r="A186" s="14"/>
      <x:c r="B186" s="14"/>
      <x:c r="C186" s="14"/>
      <x:c r="D186" s="14"/>
      <x:c r="E186" s="26"/>
      <x:c r="F186" s="26"/>
      <x:c r="G186" s="26"/>
      <x:c r="H186" s="26"/>
      <x:c r="I186" s="26"/>
      <x:c r="J186" s="14"/>
      <x:c r="K186" s="14"/>
      <x:c r="L186" s="14"/>
      <x:c r="M186" s="14"/>
      <x:c r="N186" s="14"/>
    </x:row>
    <x:row r="187">
      <x:c r="A187" s="14"/>
      <x:c r="B187" s="14"/>
      <x:c r="C187" s="14"/>
      <x:c r="D187" s="14"/>
      <x:c r="E187" s="26"/>
      <x:c r="F187" s="26"/>
      <x:c r="G187" s="26"/>
      <x:c r="H187" s="26"/>
      <x:c r="I187" s="26"/>
      <x:c r="J187" s="14"/>
      <x:c r="K187" s="14"/>
      <x:c r="L187" s="14"/>
      <x:c r="M187" s="14"/>
      <x:c r="N187" s="14"/>
    </x:row>
    <x:row r="188">
      <x:c r="A188" s="14"/>
      <x:c r="B188" s="14"/>
      <x:c r="C188" s="14"/>
      <x:c r="D188" s="14"/>
      <x:c r="E188" s="26"/>
      <x:c r="F188" s="26"/>
      <x:c r="G188" s="26"/>
      <x:c r="H188" s="26"/>
      <x:c r="I188" s="26"/>
      <x:c r="J188" s="14"/>
      <x:c r="K188" s="14"/>
      <x:c r="L188" s="14"/>
      <x:c r="M188" s="14"/>
      <x:c r="N188" s="14"/>
    </x:row>
    <x:row r="189">
      <x:c r="A189" s="14"/>
      <x:c r="B189" s="14"/>
      <x:c r="C189" s="14"/>
      <x:c r="D189" s="14"/>
      <x:c r="E189" s="26"/>
      <x:c r="F189" s="26"/>
      <x:c r="G189" s="26"/>
      <x:c r="H189" s="26"/>
      <x:c r="I189" s="26"/>
      <x:c r="J189" s="14"/>
      <x:c r="K189" s="14"/>
      <x:c r="L189" s="14"/>
      <x:c r="M189" s="14"/>
      <x:c r="N189" s="14"/>
    </x:row>
    <x:row r="190">
      <x:c r="A190" s="14"/>
      <x:c r="B190" s="14"/>
      <x:c r="C190" s="14"/>
      <x:c r="D190" s="14"/>
      <x:c r="E190" s="26"/>
      <x:c r="F190" s="26"/>
      <x:c r="G190" s="26"/>
      <x:c r="H190" s="26"/>
      <x:c r="I190" s="26"/>
      <x:c r="J190" s="14"/>
      <x:c r="K190" s="14"/>
      <x:c r="L190" s="14"/>
      <x:c r="M190" s="14"/>
      <x:c r="N190" s="14"/>
    </x:row>
    <x:row r="191">
      <x:c r="A191" s="14"/>
      <x:c r="B191" s="14"/>
      <x:c r="C191" s="14"/>
      <x:c r="D191" s="14"/>
      <x:c r="E191" s="26"/>
      <x:c r="F191" s="26"/>
      <x:c r="G191" s="26"/>
      <x:c r="H191" s="26"/>
      <x:c r="I191" s="26"/>
      <x:c r="J191" s="14"/>
      <x:c r="K191" s="14"/>
      <x:c r="L191" s="14"/>
      <x:c r="M191" s="14"/>
      <x:c r="N191" s="14"/>
    </x:row>
    <x:row r="192">
      <x:c r="A192" s="14"/>
      <x:c r="B192" s="14"/>
      <x:c r="C192" s="14"/>
      <x:c r="D192" s="14"/>
      <x:c r="E192" s="26"/>
      <x:c r="F192" s="26"/>
      <x:c r="G192" s="26"/>
      <x:c r="H192" s="26"/>
      <x:c r="I192" s="26"/>
      <x:c r="J192" s="14"/>
      <x:c r="K192" s="14"/>
      <x:c r="L192" s="14"/>
      <x:c r="M192" s="14"/>
      <x:c r="N192" s="14"/>
    </x:row>
    <x:row r="193">
      <x:c r="A193" s="14"/>
      <x:c r="B193" s="14"/>
      <x:c r="C193" s="14"/>
      <x:c r="D193" s="14"/>
      <x:c r="E193" s="26"/>
      <x:c r="F193" s="26"/>
      <x:c r="G193" s="26"/>
      <x:c r="H193" s="26"/>
      <x:c r="I193" s="26"/>
      <x:c r="J193" s="14"/>
      <x:c r="K193" s="14"/>
      <x:c r="L193" s="14"/>
      <x:c r="M193" s="14"/>
      <x:c r="N193" s="14"/>
    </x:row>
    <x:row r="194">
      <x:c r="A194" s="14"/>
      <x:c r="B194" s="14"/>
      <x:c r="C194" s="14"/>
      <x:c r="D194" s="14"/>
      <x:c r="E194" s="26"/>
      <x:c r="F194" s="26"/>
      <x:c r="G194" s="26"/>
      <x:c r="H194" s="26"/>
      <x:c r="I194" s="26"/>
      <x:c r="J194" s="14"/>
      <x:c r="K194" s="14"/>
      <x:c r="L194" s="14"/>
      <x:c r="M194" s="14"/>
      <x:c r="N194" s="14"/>
    </x:row>
    <x:row r="195">
      <x:c r="A195" s="14"/>
      <x:c r="B195" s="14"/>
      <x:c r="C195" s="14"/>
      <x:c r="D195" s="14"/>
      <x:c r="E195" s="26"/>
      <x:c r="F195" s="26"/>
      <x:c r="G195" s="26"/>
      <x:c r="H195" s="26"/>
      <x:c r="I195" s="26"/>
      <x:c r="J195" s="14"/>
      <x:c r="K195" s="14"/>
      <x:c r="L195" s="14"/>
      <x:c r="M195" s="14"/>
      <x:c r="N195" s="14"/>
    </x:row>
    <x:row r="196">
      <x:c r="A196" s="14"/>
      <x:c r="B196" s="14"/>
      <x:c r="C196" s="14"/>
      <x:c r="D196" s="14"/>
      <x:c r="E196" s="26"/>
      <x:c r="F196" s="26"/>
      <x:c r="G196" s="26"/>
      <x:c r="H196" s="26"/>
      <x:c r="I196" s="26"/>
      <x:c r="J196" s="14"/>
      <x:c r="K196" s="14"/>
      <x:c r="L196" s="14"/>
      <x:c r="M196" s="14"/>
      <x:c r="N196" s="14"/>
    </x:row>
    <x:row r="197">
      <x:c r="A197" s="14"/>
      <x:c r="B197" s="14"/>
      <x:c r="C197" s="14"/>
      <x:c r="D197" s="14"/>
      <x:c r="E197" s="26"/>
      <x:c r="F197" s="26"/>
      <x:c r="G197" s="26"/>
      <x:c r="H197" s="26"/>
      <x:c r="I197" s="26"/>
      <x:c r="J197" s="14"/>
      <x:c r="K197" s="14"/>
      <x:c r="L197" s="14"/>
      <x:c r="M197" s="14"/>
      <x:c r="N197" s="14"/>
    </x:row>
    <x:row r="198">
      <x:c r="A198" s="14"/>
      <x:c r="B198" s="14"/>
      <x:c r="C198" s="14"/>
      <x:c r="D198" s="14"/>
      <x:c r="E198" s="26"/>
      <x:c r="F198" s="26"/>
      <x:c r="G198" s="26"/>
      <x:c r="H198" s="26"/>
      <x:c r="I198" s="26"/>
      <x:c r="J198" s="14"/>
      <x:c r="K198" s="14"/>
      <x:c r="L198" s="14"/>
      <x:c r="M198" s="14"/>
      <x:c r="N198" s="14"/>
    </x:row>
    <x:row r="199">
      <x:c r="A199" s="14"/>
      <x:c r="B199" s="14"/>
      <x:c r="C199" s="14"/>
      <x:c r="D199" s="14"/>
      <x:c r="E199" s="26"/>
      <x:c r="F199" s="26"/>
      <x:c r="G199" s="26"/>
      <x:c r="H199" s="26"/>
      <x:c r="I199" s="26"/>
      <x:c r="J199" s="14"/>
      <x:c r="K199" s="14"/>
      <x:c r="L199" s="14"/>
      <x:c r="M199" s="14"/>
      <x:c r="N199" s="14"/>
    </x:row>
    <x:row r="200">
      <x:c r="A200" s="14"/>
      <x:c r="B200" s="14"/>
      <x:c r="C200" s="14"/>
      <x:c r="D200" s="14"/>
      <x:c r="E200" s="26"/>
      <x:c r="F200" s="26"/>
      <x:c r="G200" s="26"/>
      <x:c r="H200" s="26"/>
      <x:c r="I200" s="26"/>
      <x:c r="J200" s="14"/>
      <x:c r="K200" s="14"/>
      <x:c r="L200" s="14"/>
      <x:c r="M200" s="14"/>
      <x:c r="N200" s="14"/>
    </x:row>
    <x:row r="201">
      <x:c r="A201" s="14"/>
      <x:c r="B201" s="14"/>
      <x:c r="C201" s="14"/>
      <x:c r="D201" s="14"/>
      <x:c r="E201" s="26"/>
      <x:c r="F201" s="26"/>
      <x:c r="G201" s="26"/>
      <x:c r="H201" s="26"/>
      <x:c r="I201" s="26"/>
      <x:c r="J201" s="14"/>
      <x:c r="K201" s="14"/>
      <x:c r="L201" s="14"/>
      <x:c r="M201" s="14"/>
      <x:c r="N201" s="14"/>
    </x:row>
    <x:row r="202">
      <x:c r="A202" s="14"/>
      <x:c r="B202" s="14"/>
      <x:c r="C202" s="14"/>
      <x:c r="D202" s="14"/>
      <x:c r="E202" s="26"/>
      <x:c r="F202" s="26"/>
      <x:c r="G202" s="26"/>
      <x:c r="H202" s="26"/>
      <x:c r="I202" s="26"/>
      <x:c r="J202" s="14"/>
      <x:c r="K202" s="14"/>
      <x:c r="L202" s="14"/>
      <x:c r="M202" s="14"/>
      <x:c r="N202" s="14"/>
    </x:row>
    <x:row r="203">
      <x:c r="A203" s="14"/>
      <x:c r="B203" s="14"/>
      <x:c r="C203" s="14"/>
      <x:c r="D203" s="14"/>
      <x:c r="E203" s="26"/>
      <x:c r="F203" s="26"/>
      <x:c r="G203" s="26"/>
      <x:c r="H203" s="26"/>
      <x:c r="I203" s="26"/>
      <x:c r="J203" s="14"/>
      <x:c r="K203" s="14"/>
      <x:c r="L203" s="14"/>
      <x:c r="M203" s="14"/>
      <x:c r="N203" s="14"/>
    </x:row>
    <x:row r="204">
      <x:c r="A204" s="14"/>
      <x:c r="B204" s="14"/>
      <x:c r="C204" s="14"/>
      <x:c r="D204" s="14"/>
      <x:c r="E204" s="26"/>
      <x:c r="F204" s="26"/>
      <x:c r="G204" s="26"/>
      <x:c r="H204" s="26"/>
      <x:c r="I204" s="26"/>
      <x:c r="J204" s="14"/>
      <x:c r="K204" s="14"/>
      <x:c r="L204" s="14"/>
      <x:c r="M204" s="14"/>
      <x:c r="N204" s="14"/>
    </x:row>
    <x:row r="205">
      <x:c r="A205" s="14"/>
      <x:c r="B205" s="14"/>
      <x:c r="C205" s="14"/>
      <x:c r="D205" s="14"/>
      <x:c r="E205" s="26"/>
      <x:c r="F205" s="26"/>
      <x:c r="G205" s="26"/>
      <x:c r="H205" s="26"/>
      <x:c r="I205" s="26"/>
      <x:c r="J205" s="14"/>
      <x:c r="K205" s="14"/>
      <x:c r="L205" s="14"/>
      <x:c r="M205" s="14"/>
      <x:c r="N205" s="14"/>
    </x:row>
    <x:row r="206">
      <x:c r="A206" s="14"/>
      <x:c r="B206" s="14"/>
      <x:c r="C206" s="14"/>
      <x:c r="D206" s="14"/>
      <x:c r="E206" s="26"/>
      <x:c r="F206" s="26"/>
      <x:c r="G206" s="26"/>
      <x:c r="H206" s="26"/>
      <x:c r="I206" s="26"/>
      <x:c r="J206" s="14"/>
      <x:c r="K206" s="14"/>
      <x:c r="L206" s="14"/>
      <x:c r="M206" s="14"/>
      <x:c r="N206" s="14"/>
    </x:row>
    <x:row r="207">
      <x:c r="A207" s="14"/>
      <x:c r="B207" s="14"/>
      <x:c r="C207" s="14"/>
      <x:c r="D207" s="14"/>
      <x:c r="E207" s="26"/>
      <x:c r="F207" s="26"/>
      <x:c r="G207" s="26"/>
      <x:c r="H207" s="26"/>
      <x:c r="I207" s="26"/>
      <x:c r="J207" s="14"/>
      <x:c r="K207" s="14"/>
      <x:c r="L207" s="14"/>
      <x:c r="M207" s="14"/>
      <x:c r="N207" s="14"/>
    </x:row>
    <x:row r="208">
      <x:c r="A208" s="14"/>
      <x:c r="B208" s="14"/>
      <x:c r="C208" s="14"/>
      <x:c r="D208" s="14"/>
      <x:c r="E208" s="26"/>
      <x:c r="F208" s="26"/>
      <x:c r="G208" s="26"/>
      <x:c r="H208" s="26"/>
      <x:c r="I208" s="26"/>
      <x:c r="J208" s="14"/>
      <x:c r="K208" s="14"/>
      <x:c r="L208" s="14"/>
      <x:c r="M208" s="14"/>
      <x:c r="N208" s="14"/>
    </x:row>
    <x:row r="209">
      <x:c r="A209" s="14"/>
      <x:c r="B209" s="14"/>
      <x:c r="C209" s="14"/>
      <x:c r="D209" s="14"/>
      <x:c r="E209" s="26"/>
      <x:c r="F209" s="26"/>
      <x:c r="G209" s="26"/>
      <x:c r="H209" s="26"/>
      <x:c r="I209" s="26"/>
      <x:c r="J209" s="14"/>
      <x:c r="K209" s="14"/>
      <x:c r="L209" s="14"/>
      <x:c r="M209" s="14"/>
      <x:c r="N209" s="14"/>
    </x:row>
    <x:row r="210">
      <x:c r="A210" s="14"/>
      <x:c r="B210" s="14"/>
      <x:c r="C210" s="14"/>
      <x:c r="D210" s="14"/>
      <x:c r="E210" s="26"/>
      <x:c r="F210" s="26"/>
      <x:c r="G210" s="26"/>
      <x:c r="H210" s="26"/>
      <x:c r="I210" s="26"/>
      <x:c r="J210" s="14"/>
      <x:c r="K210" s="14"/>
      <x:c r="L210" s="14"/>
      <x:c r="M210" s="14"/>
      <x:c r="N210" s="14"/>
    </x:row>
    <x:row r="211">
      <x:c r="A211" s="14"/>
      <x:c r="B211" s="14"/>
      <x:c r="C211" s="14"/>
      <x:c r="D211" s="14"/>
      <x:c r="E211" s="26"/>
      <x:c r="F211" s="26"/>
      <x:c r="G211" s="26"/>
      <x:c r="H211" s="26"/>
      <x:c r="I211" s="26"/>
      <x:c r="J211" s="14"/>
      <x:c r="K211" s="14"/>
      <x:c r="L211" s="14"/>
      <x:c r="M211" s="14"/>
      <x:c r="N211" s="14"/>
    </x:row>
    <x:row r="212">
      <x:c r="A212" s="14"/>
      <x:c r="B212" s="14"/>
      <x:c r="C212" s="14"/>
      <x:c r="D212" s="14"/>
      <x:c r="E212" s="26"/>
      <x:c r="F212" s="26"/>
      <x:c r="G212" s="26"/>
      <x:c r="H212" s="26"/>
      <x:c r="I212" s="26"/>
      <x:c r="J212" s="14"/>
      <x:c r="K212" s="14"/>
      <x:c r="L212" s="14"/>
      <x:c r="M212" s="14"/>
      <x:c r="N212" s="14"/>
    </x:row>
    <x:row r="213">
      <x:c r="A213" s="14"/>
      <x:c r="B213" s="14"/>
      <x:c r="C213" s="14"/>
      <x:c r="D213" s="14"/>
      <x:c r="E213" s="26"/>
      <x:c r="F213" s="26"/>
      <x:c r="G213" s="26"/>
      <x:c r="H213" s="26"/>
      <x:c r="I213" s="26"/>
      <x:c r="J213" s="14"/>
      <x:c r="K213" s="14"/>
      <x:c r="L213" s="14"/>
      <x:c r="M213" s="14"/>
      <x:c r="N213" s="14"/>
    </x:row>
    <x:row r="214">
      <x:c r="A214" s="14"/>
      <x:c r="B214" s="14"/>
      <x:c r="C214" s="14"/>
      <x:c r="D214" s="14"/>
      <x:c r="E214" s="26"/>
      <x:c r="F214" s="26"/>
      <x:c r="G214" s="26"/>
      <x:c r="H214" s="26"/>
      <x:c r="I214" s="26"/>
      <x:c r="J214" s="14"/>
      <x:c r="K214" s="14"/>
      <x:c r="L214" s="14"/>
      <x:c r="M214" s="14"/>
      <x:c r="N214" s="14"/>
    </x:row>
    <x:row r="215">
      <x:c r="A215" s="14"/>
      <x:c r="B215" s="14"/>
      <x:c r="C215" s="14"/>
      <x:c r="D215" s="14"/>
      <x:c r="E215" s="26"/>
      <x:c r="F215" s="26"/>
      <x:c r="G215" s="26"/>
      <x:c r="H215" s="26"/>
      <x:c r="I215" s="26"/>
      <x:c r="J215" s="14"/>
      <x:c r="K215" s="14"/>
      <x:c r="L215" s="14"/>
      <x:c r="M215" s="14"/>
      <x:c r="N215" s="14"/>
    </x:row>
    <x:row r="216">
      <x:c r="A216" s="14"/>
      <x:c r="B216" s="14"/>
      <x:c r="C216" s="14"/>
      <x:c r="D216" s="14"/>
      <x:c r="E216" s="26"/>
      <x:c r="F216" s="26"/>
      <x:c r="G216" s="26"/>
      <x:c r="H216" s="26"/>
      <x:c r="I216" s="26"/>
      <x:c r="J216" s="14"/>
      <x:c r="K216" s="14"/>
      <x:c r="L216" s="14"/>
      <x:c r="M216" s="14"/>
      <x:c r="N216" s="14"/>
    </x:row>
    <x:row r="217">
      <x:c r="A217" s="14"/>
      <x:c r="B217" s="14"/>
      <x:c r="C217" s="14"/>
      <x:c r="D217" s="14"/>
      <x:c r="E217" s="26"/>
      <x:c r="F217" s="26"/>
      <x:c r="G217" s="26"/>
      <x:c r="H217" s="26"/>
      <x:c r="I217" s="26"/>
      <x:c r="J217" s="14"/>
      <x:c r="K217" s="14"/>
      <x:c r="L217" s="14"/>
      <x:c r="M217" s="14"/>
      <x:c r="N217" s="14"/>
    </x:row>
    <x:row r="218">
      <x:c r="A218" s="14"/>
      <x:c r="B218" s="14"/>
      <x:c r="C218" s="14"/>
      <x:c r="D218" s="14"/>
      <x:c r="E218" s="26"/>
      <x:c r="F218" s="26"/>
      <x:c r="G218" s="26"/>
      <x:c r="H218" s="26"/>
      <x:c r="I218" s="26"/>
      <x:c r="J218" s="14"/>
      <x:c r="K218" s="14"/>
      <x:c r="L218" s="14"/>
      <x:c r="M218" s="14"/>
      <x:c r="N218" s="14"/>
    </x:row>
    <x:row r="219">
      <x:c r="A219" s="14"/>
      <x:c r="B219" s="14"/>
      <x:c r="C219" s="14"/>
      <x:c r="D219" s="14"/>
      <x:c r="E219" s="26"/>
      <x:c r="F219" s="26"/>
      <x:c r="G219" s="26"/>
      <x:c r="H219" s="26"/>
      <x:c r="I219" s="26"/>
      <x:c r="J219" s="14"/>
      <x:c r="K219" s="14"/>
      <x:c r="L219" s="14"/>
      <x:c r="M219" s="14"/>
      <x:c r="N219" s="14"/>
    </x:row>
    <x:row r="220">
      <x:c r="A220" s="14"/>
      <x:c r="B220" s="14"/>
      <x:c r="C220" s="14"/>
      <x:c r="D220" s="14"/>
      <x:c r="E220" s="26"/>
      <x:c r="F220" s="26"/>
      <x:c r="G220" s="26"/>
      <x:c r="H220" s="26"/>
      <x:c r="I220" s="26"/>
      <x:c r="J220" s="14"/>
      <x:c r="K220" s="14"/>
      <x:c r="L220" s="14"/>
      <x:c r="M220" s="14"/>
      <x:c r="N220" s="14"/>
    </x:row>
    <x:row r="221">
      <x:c r="A221" s="14"/>
      <x:c r="B221" s="14"/>
      <x:c r="C221" s="14"/>
      <x:c r="D221" s="14"/>
      <x:c r="E221" s="26"/>
      <x:c r="F221" s="26"/>
      <x:c r="G221" s="26"/>
      <x:c r="H221" s="26"/>
      <x:c r="I221" s="26"/>
      <x:c r="J221" s="14"/>
      <x:c r="K221" s="14"/>
      <x:c r="L221" s="14"/>
      <x:c r="M221" s="14"/>
      <x:c r="N221" s="14"/>
    </x:row>
    <x:row r="222">
      <x:c r="A222" s="14"/>
      <x:c r="B222" s="14"/>
      <x:c r="C222" s="14"/>
      <x:c r="D222" s="14"/>
      <x:c r="E222" s="26"/>
      <x:c r="F222" s="26"/>
      <x:c r="G222" s="26"/>
      <x:c r="H222" s="26"/>
      <x:c r="I222" s="26"/>
      <x:c r="J222" s="14"/>
      <x:c r="K222" s="14"/>
      <x:c r="L222" s="14"/>
      <x:c r="M222" s="14"/>
      <x:c r="N222" s="14"/>
    </x:row>
    <x:row r="223">
      <x:c r="A223" s="14"/>
      <x:c r="B223" s="14"/>
      <x:c r="C223" s="14"/>
      <x:c r="D223" s="14"/>
      <x:c r="E223" s="26"/>
      <x:c r="F223" s="26"/>
      <x:c r="G223" s="26"/>
      <x:c r="H223" s="26"/>
      <x:c r="I223" s="26"/>
      <x:c r="J223" s="14"/>
      <x:c r="K223" s="14"/>
      <x:c r="L223" s="14"/>
      <x:c r="M223" s="14"/>
      <x:c r="N223" s="14"/>
    </x:row>
    <x:row r="224">
      <x:c r="A224" s="14"/>
      <x:c r="B224" s="14"/>
      <x:c r="C224" s="14"/>
      <x:c r="D224" s="14"/>
      <x:c r="E224" s="26"/>
      <x:c r="F224" s="26"/>
      <x:c r="G224" s="26"/>
      <x:c r="H224" s="26"/>
      <x:c r="I224" s="26"/>
      <x:c r="J224" s="14"/>
      <x:c r="K224" s="14"/>
      <x:c r="L224" s="14"/>
      <x:c r="M224" s="14"/>
      <x:c r="N224" s="14"/>
    </x:row>
    <x:row r="225">
      <x:c r="A225" s="14"/>
      <x:c r="B225" s="14"/>
      <x:c r="C225" s="14"/>
      <x:c r="D225" s="14"/>
      <x:c r="E225" s="26"/>
      <x:c r="F225" s="26"/>
      <x:c r="G225" s="26"/>
      <x:c r="H225" s="26"/>
      <x:c r="I225" s="26"/>
      <x:c r="J225" s="14"/>
      <x:c r="K225" s="14"/>
      <x:c r="L225" s="14"/>
      <x:c r="M225" s="14"/>
      <x:c r="N225" s="14"/>
    </x:row>
    <x:row r="226">
      <x:c r="A226" s="14"/>
      <x:c r="B226" s="14"/>
      <x:c r="C226" s="14"/>
      <x:c r="D226" s="14"/>
      <x:c r="E226" s="26"/>
      <x:c r="F226" s="26"/>
      <x:c r="G226" s="26"/>
      <x:c r="H226" s="26"/>
      <x:c r="I226" s="26"/>
      <x:c r="J226" s="14"/>
      <x:c r="K226" s="14"/>
      <x:c r="L226" s="14"/>
      <x:c r="M226" s="14"/>
      <x:c r="N226" s="14"/>
    </x:row>
    <x:row r="227">
      <x:c r="A227" s="14"/>
      <x:c r="B227" s="14"/>
      <x:c r="C227" s="14"/>
      <x:c r="D227" s="14"/>
      <x:c r="E227" s="26"/>
      <x:c r="F227" s="26"/>
      <x:c r="G227" s="26"/>
      <x:c r="H227" s="26"/>
      <x:c r="I227" s="26"/>
      <x:c r="J227" s="14"/>
      <x:c r="K227" s="14"/>
      <x:c r="L227" s="14"/>
      <x:c r="M227" s="14"/>
      <x:c r="N227" s="14"/>
    </x:row>
    <x:row r="228">
      <x:c r="A228" s="14"/>
      <x:c r="B228" s="14"/>
      <x:c r="C228" s="14"/>
      <x:c r="D228" s="14"/>
      <x:c r="E228" s="26"/>
      <x:c r="F228" s="26"/>
      <x:c r="G228" s="26"/>
      <x:c r="H228" s="26"/>
      <x:c r="I228" s="26"/>
      <x:c r="J228" s="14"/>
      <x:c r="K228" s="14"/>
      <x:c r="L228" s="14"/>
      <x:c r="M228" s="14"/>
      <x:c r="N228" s="14"/>
    </x:row>
    <x:row r="229">
      <x:c r="A229" s="14"/>
      <x:c r="B229" s="14"/>
      <x:c r="C229" s="14"/>
      <x:c r="D229" s="14"/>
      <x:c r="E229" s="26"/>
      <x:c r="F229" s="26"/>
      <x:c r="G229" s="26"/>
      <x:c r="H229" s="26"/>
      <x:c r="I229" s="26"/>
      <x:c r="J229" s="14"/>
      <x:c r="K229" s="14"/>
      <x:c r="L229" s="14"/>
      <x:c r="M229" s="14"/>
      <x:c r="N229" s="14"/>
    </x:row>
    <x:row r="230">
      <x:c r="A230" s="14"/>
      <x:c r="B230" s="14"/>
      <x:c r="C230" s="14"/>
      <x:c r="D230" s="14"/>
      <x:c r="E230" s="26"/>
      <x:c r="F230" s="26"/>
      <x:c r="G230" s="26"/>
      <x:c r="H230" s="26"/>
      <x:c r="I230" s="26"/>
      <x:c r="J230" s="14"/>
      <x:c r="K230" s="14"/>
      <x:c r="L230" s="14"/>
      <x:c r="M230" s="14"/>
      <x:c r="N230" s="14"/>
    </x:row>
    <x:row r="231">
      <x:c r="A231" s="14"/>
      <x:c r="B231" s="14"/>
      <x:c r="C231" s="14"/>
      <x:c r="D231" s="14"/>
      <x:c r="E231" s="26"/>
      <x:c r="F231" s="26"/>
      <x:c r="G231" s="26"/>
      <x:c r="H231" s="26"/>
      <x:c r="I231" s="26"/>
      <x:c r="J231" s="14"/>
      <x:c r="K231" s="14"/>
      <x:c r="L231" s="14"/>
      <x:c r="M231" s="14"/>
      <x:c r="N231" s="14"/>
    </x:row>
    <x:row r="232">
      <x:c r="A232" s="14"/>
      <x:c r="B232" s="14"/>
      <x:c r="C232" s="14"/>
      <x:c r="D232" s="14"/>
      <x:c r="E232" s="26"/>
      <x:c r="F232" s="26"/>
      <x:c r="G232" s="26"/>
      <x:c r="H232" s="26"/>
      <x:c r="I232" s="26"/>
      <x:c r="J232" s="14"/>
      <x:c r="K232" s="14"/>
      <x:c r="L232" s="14"/>
      <x:c r="M232" s="14"/>
      <x:c r="N232" s="14"/>
    </x:row>
    <x:row r="233">
      <x:c r="A233" s="14"/>
      <x:c r="B233" s="14"/>
      <x:c r="C233" s="14"/>
      <x:c r="D233" s="14"/>
      <x:c r="E233" s="26"/>
      <x:c r="F233" s="26"/>
      <x:c r="G233" s="26"/>
      <x:c r="H233" s="26"/>
      <x:c r="I233" s="26"/>
      <x:c r="J233" s="14"/>
      <x:c r="K233" s="14"/>
      <x:c r="L233" s="14"/>
      <x:c r="M233" s="14"/>
      <x:c r="N233" s="14"/>
    </x:row>
    <x:row r="234">
      <x:c r="A234" s="14"/>
      <x:c r="B234" s="14"/>
      <x:c r="C234" s="14"/>
      <x:c r="D234" s="14"/>
      <x:c r="E234" s="26"/>
      <x:c r="F234" s="26"/>
      <x:c r="G234" s="26"/>
      <x:c r="H234" s="26"/>
      <x:c r="I234" s="26"/>
      <x:c r="J234" s="14"/>
      <x:c r="K234" s="14"/>
      <x:c r="L234" s="14"/>
      <x:c r="M234" s="14"/>
      <x:c r="N234" s="14"/>
    </x:row>
    <x:row r="235">
      <x:c r="A235" s="14"/>
      <x:c r="B235" s="14"/>
      <x:c r="C235" s="14"/>
      <x:c r="D235" s="14"/>
      <x:c r="E235" s="26"/>
      <x:c r="F235" s="26"/>
      <x:c r="G235" s="26"/>
      <x:c r="H235" s="26"/>
      <x:c r="I235" s="26"/>
      <x:c r="J235" s="14"/>
      <x:c r="K235" s="14"/>
      <x:c r="L235" s="14"/>
      <x:c r="M235" s="14"/>
      <x:c r="N235" s="14"/>
    </x:row>
    <x:row r="236">
      <x:c r="A236" s="14"/>
      <x:c r="B236" s="14"/>
      <x:c r="C236" s="14"/>
      <x:c r="D236" s="14"/>
      <x:c r="E236" s="26"/>
      <x:c r="F236" s="26"/>
      <x:c r="G236" s="26"/>
      <x:c r="H236" s="26"/>
      <x:c r="I236" s="26"/>
      <x:c r="J236" s="14"/>
      <x:c r="K236" s="14"/>
      <x:c r="L236" s="14"/>
      <x:c r="M236" s="14"/>
      <x:c r="N236" s="14"/>
    </x:row>
    <x:row r="237">
      <x:c r="A237" s="14"/>
      <x:c r="B237" s="14"/>
      <x:c r="C237" s="14"/>
      <x:c r="D237" s="14"/>
      <x:c r="E237" s="26"/>
      <x:c r="F237" s="26"/>
      <x:c r="G237" s="26"/>
      <x:c r="H237" s="26"/>
      <x:c r="I237" s="26"/>
      <x:c r="J237" s="14"/>
      <x:c r="K237" s="14"/>
      <x:c r="L237" s="14"/>
      <x:c r="M237" s="14"/>
      <x:c r="N237" s="14"/>
    </x:row>
    <x:row r="238">
      <x:c r="A238" s="14"/>
      <x:c r="B238" s="14"/>
      <x:c r="C238" s="14"/>
      <x:c r="D238" s="14"/>
      <x:c r="E238" s="26"/>
      <x:c r="F238" s="26"/>
      <x:c r="G238" s="26"/>
      <x:c r="H238" s="26"/>
      <x:c r="I238" s="26"/>
      <x:c r="J238" s="14"/>
      <x:c r="K238" s="14"/>
      <x:c r="L238" s="14"/>
      <x:c r="M238" s="14"/>
      <x:c r="N238" s="14"/>
    </x:row>
    <x:row r="239">
      <x:c r="A239" s="14"/>
      <x:c r="B239" s="14"/>
      <x:c r="C239" s="14"/>
      <x:c r="D239" s="14"/>
      <x:c r="E239" s="26"/>
      <x:c r="F239" s="26"/>
      <x:c r="G239" s="26"/>
      <x:c r="H239" s="26"/>
      <x:c r="I239" s="26"/>
      <x:c r="J239" s="14"/>
      <x:c r="K239" s="14"/>
      <x:c r="L239" s="14"/>
      <x:c r="M239" s="14"/>
      <x:c r="N239" s="14"/>
    </x:row>
    <x:row r="240">
      <x:c r="A240" s="14"/>
      <x:c r="B240" s="14"/>
      <x:c r="C240" s="14"/>
      <x:c r="D240" s="14"/>
      <x:c r="E240" s="26"/>
      <x:c r="F240" s="26"/>
      <x:c r="G240" s="26"/>
      <x:c r="H240" s="26"/>
      <x:c r="I240" s="26"/>
      <x:c r="J240" s="14"/>
      <x:c r="K240" s="14"/>
      <x:c r="L240" s="14"/>
      <x:c r="M240" s="14"/>
      <x:c r="N240" s="14"/>
    </x:row>
    <x:row r="241">
      <x:c r="A241" s="14"/>
      <x:c r="B241" s="14"/>
      <x:c r="C241" s="14"/>
      <x:c r="D241" s="14"/>
      <x:c r="E241" s="26"/>
      <x:c r="F241" s="26"/>
      <x:c r="G241" s="26"/>
      <x:c r="H241" s="26"/>
      <x:c r="I241" s="26"/>
      <x:c r="J241" s="14"/>
      <x:c r="K241" s="14"/>
      <x:c r="L241" s="14"/>
      <x:c r="M241" s="14"/>
      <x:c r="N241" s="14"/>
    </x:row>
    <x:row r="242">
      <x:c r="A242" s="14"/>
      <x:c r="B242" s="14"/>
      <x:c r="C242" s="14"/>
      <x:c r="D242" s="14"/>
      <x:c r="E242" s="26"/>
      <x:c r="F242" s="26"/>
      <x:c r="G242" s="26"/>
      <x:c r="H242" s="26"/>
      <x:c r="I242" s="26"/>
      <x:c r="J242" s="14"/>
      <x:c r="K242" s="14"/>
      <x:c r="L242" s="14"/>
      <x:c r="M242" s="14"/>
      <x:c r="N242" s="14"/>
    </x:row>
    <x:row r="243">
      <x:c r="A243" s="14"/>
      <x:c r="B243" s="14"/>
      <x:c r="C243" s="14"/>
      <x:c r="D243" s="14"/>
      <x:c r="E243" s="26"/>
      <x:c r="F243" s="26"/>
      <x:c r="G243" s="26"/>
      <x:c r="H243" s="26"/>
      <x:c r="I243" s="26"/>
      <x:c r="J243" s="14"/>
      <x:c r="K243" s="14"/>
      <x:c r="L243" s="14"/>
      <x:c r="M243" s="14"/>
      <x:c r="N243" s="14"/>
    </x:row>
    <x:row r="244">
      <x:c r="A244" s="14"/>
      <x:c r="B244" s="14"/>
      <x:c r="C244" s="14"/>
      <x:c r="D244" s="14"/>
      <x:c r="E244" s="26"/>
      <x:c r="F244" s="26"/>
      <x:c r="G244" s="26"/>
      <x:c r="H244" s="26"/>
      <x:c r="I244" s="26"/>
      <x:c r="J244" s="14"/>
      <x:c r="K244" s="14"/>
      <x:c r="L244" s="14"/>
      <x:c r="M244" s="14"/>
      <x:c r="N244" s="14"/>
    </x:row>
    <x:row r="245">
      <x:c r="A245" s="14"/>
      <x:c r="B245" s="14"/>
      <x:c r="C245" s="14"/>
      <x:c r="D245" s="14"/>
      <x:c r="E245" s="26"/>
      <x:c r="F245" s="26"/>
      <x:c r="G245" s="26"/>
      <x:c r="H245" s="26"/>
      <x:c r="I245" s="26"/>
      <x:c r="J245" s="14"/>
      <x:c r="K245" s="14"/>
      <x:c r="L245" s="14"/>
      <x:c r="M245" s="14"/>
      <x:c r="N245" s="14"/>
    </x:row>
    <x:row r="246">
      <x:c r="A246" s="14"/>
      <x:c r="B246" s="14"/>
      <x:c r="C246" s="14"/>
      <x:c r="D246" s="14"/>
      <x:c r="E246" s="26"/>
      <x:c r="F246" s="26"/>
      <x:c r="G246" s="26"/>
      <x:c r="H246" s="26"/>
      <x:c r="I246" s="26"/>
      <x:c r="J246" s="14"/>
      <x:c r="K246" s="14"/>
      <x:c r="L246" s="14"/>
      <x:c r="M246" s="14"/>
      <x:c r="N246" s="14"/>
    </x:row>
    <x:row r="247">
      <x:c r="A247" s="14"/>
      <x:c r="B247" s="14"/>
      <x:c r="C247" s="14"/>
      <x:c r="D247" s="14"/>
      <x:c r="E247" s="26"/>
      <x:c r="F247" s="26"/>
      <x:c r="G247" s="26"/>
      <x:c r="H247" s="26"/>
      <x:c r="I247" s="26"/>
      <x:c r="J247" s="14"/>
      <x:c r="K247" s="14"/>
      <x:c r="L247" s="14"/>
      <x:c r="M247" s="14"/>
      <x:c r="N247" s="14"/>
    </x:row>
    <x:row r="248">
      <x:c r="A248" s="14"/>
      <x:c r="B248" s="14"/>
      <x:c r="C248" s="14"/>
      <x:c r="D248" s="14"/>
      <x:c r="E248" s="26"/>
      <x:c r="F248" s="26"/>
      <x:c r="G248" s="26"/>
      <x:c r="H248" s="26"/>
      <x:c r="I248" s="26"/>
      <x:c r="J248" s="14"/>
      <x:c r="K248" s="14"/>
      <x:c r="L248" s="14"/>
      <x:c r="M248" s="14"/>
      <x:c r="N248" s="14"/>
    </x:row>
    <x:row r="249">
      <x:c r="A249" s="14"/>
      <x:c r="B249" s="14"/>
      <x:c r="C249" s="14"/>
      <x:c r="D249" s="14"/>
      <x:c r="E249" s="26"/>
      <x:c r="F249" s="26"/>
      <x:c r="G249" s="26"/>
      <x:c r="H249" s="26"/>
      <x:c r="I249" s="26"/>
      <x:c r="J249" s="14"/>
      <x:c r="K249" s="14"/>
      <x:c r="L249" s="14"/>
      <x:c r="M249" s="14"/>
      <x:c r="N249" s="14"/>
    </x:row>
    <x:row r="250">
      <x:c r="A250" s="14"/>
      <x:c r="B250" s="14"/>
      <x:c r="C250" s="14"/>
      <x:c r="D250" s="14"/>
      <x:c r="E250" s="26"/>
      <x:c r="F250" s="26"/>
      <x:c r="G250" s="26"/>
      <x:c r="H250" s="26"/>
      <x:c r="I250" s="26"/>
      <x:c r="J250" s="14"/>
      <x:c r="K250" s="14"/>
      <x:c r="L250" s="14"/>
      <x:c r="M250" s="14"/>
      <x:c r="N250" s="14"/>
    </x:row>
    <x:row r="251">
      <x:c r="A251" s="14"/>
      <x:c r="B251" s="14"/>
      <x:c r="C251" s="14"/>
      <x:c r="D251" s="14"/>
      <x:c r="E251" s="26"/>
      <x:c r="F251" s="26"/>
      <x:c r="G251" s="26"/>
      <x:c r="H251" s="26"/>
      <x:c r="I251" s="26"/>
      <x:c r="J251" s="14"/>
      <x:c r="K251" s="14"/>
      <x:c r="L251" s="14"/>
      <x:c r="M251" s="14"/>
      <x:c r="N251" s="14"/>
    </x:row>
    <x:row r="252">
      <x:c r="A252" s="14"/>
      <x:c r="B252" s="14"/>
      <x:c r="C252" s="14"/>
      <x:c r="D252" s="14"/>
      <x:c r="E252" s="26"/>
      <x:c r="F252" s="26"/>
      <x:c r="G252" s="26"/>
      <x:c r="H252" s="26"/>
      <x:c r="I252" s="26"/>
      <x:c r="J252" s="14"/>
      <x:c r="K252" s="14"/>
      <x:c r="L252" s="14"/>
      <x:c r="M252" s="14"/>
      <x:c r="N252" s="14"/>
    </x:row>
    <x:row r="253">
      <x:c r="A253" s="14"/>
      <x:c r="B253" s="14"/>
      <x:c r="C253" s="14"/>
      <x:c r="D253" s="14"/>
      <x:c r="E253" s="26"/>
      <x:c r="F253" s="26"/>
      <x:c r="G253" s="26"/>
      <x:c r="H253" s="26"/>
      <x:c r="I253" s="26"/>
      <x:c r="J253" s="14"/>
      <x:c r="K253" s="14"/>
      <x:c r="L253" s="14"/>
      <x:c r="M253" s="14"/>
      <x:c r="N253" s="14"/>
    </x:row>
    <x:row r="254">
      <x:c r="A254" s="14"/>
      <x:c r="B254" s="14"/>
      <x:c r="C254" s="14"/>
      <x:c r="D254" s="14"/>
      <x:c r="E254" s="26"/>
      <x:c r="F254" s="26"/>
      <x:c r="G254" s="26"/>
      <x:c r="H254" s="26"/>
      <x:c r="I254" s="26"/>
      <x:c r="J254" s="14"/>
      <x:c r="K254" s="14"/>
      <x:c r="L254" s="14"/>
      <x:c r="M254" s="14"/>
      <x:c r="N254" s="14"/>
    </x:row>
    <x:row r="255">
      <x:c r="A255" s="14"/>
      <x:c r="B255" s="14"/>
      <x:c r="C255" s="14"/>
      <x:c r="D255" s="14"/>
      <x:c r="E255" s="26"/>
      <x:c r="F255" s="26"/>
      <x:c r="G255" s="26"/>
      <x:c r="H255" s="26"/>
      <x:c r="I255" s="26"/>
      <x:c r="J255" s="14"/>
      <x:c r="K255" s="14"/>
      <x:c r="L255" s="14"/>
      <x:c r="M255" s="14"/>
      <x:c r="N255" s="14"/>
    </x:row>
    <x:row r="256">
      <x:c r="A256" s="14"/>
      <x:c r="B256" s="14"/>
      <x:c r="C256" s="14"/>
      <x:c r="D256" s="14"/>
      <x:c r="E256" s="26"/>
      <x:c r="F256" s="26"/>
      <x:c r="G256" s="26"/>
      <x:c r="H256" s="26"/>
      <x:c r="I256" s="26"/>
      <x:c r="J256" s="14"/>
      <x:c r="K256" s="14"/>
      <x:c r="L256" s="14"/>
      <x:c r="M256" s="14"/>
      <x:c r="N256" s="14"/>
    </x:row>
    <x:row r="257">
      <x:c r="A257" s="14"/>
      <x:c r="B257" s="14"/>
      <x:c r="C257" s="14"/>
      <x:c r="D257" s="14"/>
      <x:c r="E257" s="26"/>
      <x:c r="F257" s="26"/>
      <x:c r="G257" s="26"/>
      <x:c r="H257" s="26"/>
      <x:c r="I257" s="26"/>
      <x:c r="J257" s="14"/>
      <x:c r="K257" s="14"/>
      <x:c r="L257" s="14"/>
      <x:c r="M257" s="14"/>
      <x:c r="N257" s="14"/>
    </x:row>
    <x:row r="258">
      <x:c r="A258" s="14"/>
      <x:c r="B258" s="14"/>
      <x:c r="C258" s="14"/>
      <x:c r="D258" s="14"/>
      <x:c r="E258" s="26"/>
      <x:c r="F258" s="26"/>
      <x:c r="G258" s="26"/>
      <x:c r="H258" s="26"/>
      <x:c r="I258" s="26"/>
      <x:c r="J258" s="14"/>
      <x:c r="K258" s="14"/>
      <x:c r="L258" s="14"/>
      <x:c r="M258" s="14"/>
      <x:c r="N258" s="14"/>
    </x:row>
    <x:row r="259">
      <x:c r="A259" s="14"/>
      <x:c r="B259" s="14"/>
      <x:c r="C259" s="14"/>
      <x:c r="D259" s="14"/>
      <x:c r="E259" s="26"/>
      <x:c r="F259" s="26"/>
      <x:c r="G259" s="26"/>
      <x:c r="H259" s="26"/>
      <x:c r="I259" s="26"/>
      <x:c r="J259" s="14"/>
      <x:c r="K259" s="14"/>
      <x:c r="L259" s="14"/>
      <x:c r="M259" s="14"/>
      <x:c r="N259" s="14"/>
    </x:row>
    <x:row r="260">
      <x:c r="A260" s="14"/>
      <x:c r="B260" s="14"/>
      <x:c r="C260" s="14"/>
      <x:c r="D260" s="14"/>
      <x:c r="E260" s="26"/>
      <x:c r="F260" s="26"/>
      <x:c r="G260" s="26"/>
      <x:c r="H260" s="26"/>
      <x:c r="I260" s="26"/>
      <x:c r="J260" s="14"/>
      <x:c r="K260" s="14"/>
      <x:c r="L260" s="14"/>
      <x:c r="M260" s="14"/>
      <x:c r="N260" s="14"/>
    </x:row>
    <x:row r="261">
      <x:c r="A261" s="14"/>
      <x:c r="B261" s="14"/>
      <x:c r="C261" s="14"/>
      <x:c r="D261" s="14"/>
      <x:c r="E261" s="26"/>
      <x:c r="F261" s="26"/>
      <x:c r="G261" s="26"/>
      <x:c r="H261" s="26"/>
      <x:c r="I261" s="26"/>
      <x:c r="J261" s="14"/>
      <x:c r="K261" s="14"/>
      <x:c r="L261" s="14"/>
      <x:c r="M261" s="14"/>
      <x:c r="N261" s="14"/>
    </x:row>
    <x:row r="262">
      <x:c r="A262" s="14"/>
      <x:c r="B262" s="14"/>
      <x:c r="C262" s="14"/>
      <x:c r="D262" s="14"/>
      <x:c r="E262" s="26"/>
      <x:c r="F262" s="26"/>
      <x:c r="G262" s="26"/>
      <x:c r="H262" s="26"/>
      <x:c r="I262" s="26"/>
      <x:c r="J262" s="14"/>
      <x:c r="K262" s="14"/>
      <x:c r="L262" s="14"/>
      <x:c r="M262" s="14"/>
      <x:c r="N262" s="14"/>
    </x:row>
    <x:row r="263">
      <x:c r="A263" s="14"/>
      <x:c r="B263" s="14"/>
      <x:c r="C263" s="14"/>
      <x:c r="D263" s="14"/>
      <x:c r="E263" s="26"/>
      <x:c r="F263" s="26"/>
      <x:c r="G263" s="26"/>
      <x:c r="H263" s="26"/>
      <x:c r="I263" s="26"/>
      <x:c r="J263" s="14"/>
      <x:c r="K263" s="14"/>
      <x:c r="L263" s="14"/>
      <x:c r="M263" s="14"/>
      <x:c r="N263" s="14"/>
    </x:row>
    <x:row r="264">
      <x:c r="A264" s="14"/>
      <x:c r="B264" s="14"/>
      <x:c r="C264" s="14"/>
      <x:c r="D264" s="14"/>
      <x:c r="E264" s="26"/>
      <x:c r="F264" s="26"/>
      <x:c r="G264" s="26"/>
      <x:c r="H264" s="26"/>
      <x:c r="I264" s="26"/>
      <x:c r="J264" s="14"/>
      <x:c r="K264" s="14"/>
      <x:c r="L264" s="14"/>
      <x:c r="M264" s="14"/>
      <x:c r="N264" s="14"/>
    </x:row>
    <x:row r="265">
      <x:c r="A265" s="14"/>
      <x:c r="B265" s="14"/>
      <x:c r="C265" s="14"/>
      <x:c r="D265" s="14"/>
      <x:c r="E265" s="26"/>
      <x:c r="F265" s="26"/>
      <x:c r="G265" s="26"/>
      <x:c r="H265" s="26"/>
      <x:c r="I265" s="26"/>
      <x:c r="J265" s="14"/>
      <x:c r="K265" s="14"/>
      <x:c r="L265" s="14"/>
      <x:c r="M265" s="14"/>
      <x:c r="N265" s="14"/>
    </x:row>
    <x:row r="266">
      <x:c r="A266" s="14"/>
      <x:c r="B266" s="14"/>
      <x:c r="C266" s="14"/>
      <x:c r="D266" s="14"/>
      <x:c r="E266" s="26"/>
      <x:c r="F266" s="26"/>
      <x:c r="G266" s="26"/>
      <x:c r="H266" s="26"/>
      <x:c r="I266" s="26"/>
      <x:c r="J266" s="14"/>
      <x:c r="K266" s="14"/>
      <x:c r="L266" s="14"/>
      <x:c r="M266" s="14"/>
      <x:c r="N266" s="14"/>
    </x:row>
    <x:row r="267">
      <x:c r="A267" s="14"/>
      <x:c r="B267" s="14"/>
      <x:c r="C267" s="14"/>
      <x:c r="D267" s="14"/>
      <x:c r="E267" s="26"/>
      <x:c r="F267" s="26"/>
      <x:c r="G267" s="26"/>
      <x:c r="H267" s="26"/>
      <x:c r="I267" s="26"/>
      <x:c r="J267" s="14"/>
      <x:c r="K267" s="14"/>
      <x:c r="L267" s="14"/>
      <x:c r="M267" s="14"/>
      <x:c r="N267" s="14"/>
    </x:row>
    <x:row r="268">
      <x:c r="A268" s="14"/>
      <x:c r="B268" s="14"/>
      <x:c r="C268" s="14"/>
      <x:c r="D268" s="14"/>
      <x:c r="E268" s="26"/>
      <x:c r="F268" s="26"/>
      <x:c r="G268" s="26"/>
      <x:c r="H268" s="26"/>
      <x:c r="I268" s="26"/>
      <x:c r="J268" s="14"/>
      <x:c r="K268" s="14"/>
      <x:c r="L268" s="14"/>
      <x:c r="M268" s="14"/>
      <x:c r="N268" s="14"/>
    </x:row>
    <x:row r="269">
      <x:c r="A269" s="14"/>
      <x:c r="B269" s="14"/>
      <x:c r="C269" s="14"/>
      <x:c r="D269" s="14"/>
      <x:c r="E269" s="26"/>
      <x:c r="F269" s="26"/>
      <x:c r="G269" s="26"/>
      <x:c r="H269" s="26"/>
      <x:c r="I269" s="26"/>
      <x:c r="J269" s="14"/>
      <x:c r="K269" s="14"/>
      <x:c r="L269" s="14"/>
      <x:c r="M269" s="14"/>
      <x:c r="N269" s="14"/>
    </x:row>
    <x:row r="270">
      <x:c r="A270" s="14"/>
      <x:c r="B270" s="14"/>
      <x:c r="C270" s="14"/>
      <x:c r="D270" s="14"/>
      <x:c r="E270" s="26"/>
      <x:c r="F270" s="26"/>
      <x:c r="G270" s="26"/>
      <x:c r="H270" s="26"/>
      <x:c r="I270" s="26"/>
      <x:c r="J270" s="14"/>
      <x:c r="K270" s="14"/>
      <x:c r="L270" s="14"/>
      <x:c r="M270" s="14"/>
      <x:c r="N270" s="14"/>
    </x:row>
    <x:row r="271">
      <x:c r="A271" s="14"/>
      <x:c r="B271" s="14"/>
      <x:c r="C271" s="14"/>
      <x:c r="D271" s="14"/>
      <x:c r="E271" s="26"/>
      <x:c r="F271" s="26"/>
      <x:c r="G271" s="26"/>
      <x:c r="H271" s="26"/>
      <x:c r="I271" s="26"/>
      <x:c r="J271" s="14"/>
      <x:c r="K271" s="14"/>
      <x:c r="L271" s="14"/>
      <x:c r="M271" s="14"/>
      <x:c r="N271" s="14"/>
    </x:row>
    <x:row r="272">
      <x:c r="A272" s="14"/>
      <x:c r="B272" s="14"/>
      <x:c r="C272" s="14"/>
      <x:c r="D272" s="14"/>
      <x:c r="E272" s="26"/>
      <x:c r="F272" s="26"/>
      <x:c r="G272" s="26"/>
      <x:c r="H272" s="26"/>
      <x:c r="I272" s="26"/>
      <x:c r="J272" s="14"/>
      <x:c r="K272" s="14"/>
      <x:c r="L272" s="14"/>
      <x:c r="M272" s="14"/>
      <x:c r="N272" s="14"/>
    </x:row>
    <x:row r="273">
      <x:c r="A273" s="14"/>
      <x:c r="B273" s="14"/>
      <x:c r="C273" s="14"/>
      <x:c r="D273" s="14"/>
      <x:c r="E273" s="26"/>
      <x:c r="F273" s="26"/>
      <x:c r="G273" s="26"/>
      <x:c r="H273" s="26"/>
      <x:c r="I273" s="26"/>
      <x:c r="J273" s="14"/>
      <x:c r="K273" s="14"/>
      <x:c r="L273" s="14"/>
      <x:c r="M273" s="14"/>
      <x:c r="N273" s="14"/>
    </x:row>
    <x:row r="274">
      <x:c r="A274" s="14"/>
      <x:c r="B274" s="14"/>
      <x:c r="C274" s="14"/>
      <x:c r="D274" s="14"/>
      <x:c r="E274" s="26"/>
      <x:c r="F274" s="26"/>
      <x:c r="G274" s="26"/>
      <x:c r="H274" s="26"/>
      <x:c r="I274" s="26"/>
      <x:c r="J274" s="14"/>
      <x:c r="K274" s="14"/>
      <x:c r="L274" s="14"/>
      <x:c r="M274" s="14"/>
      <x:c r="N274" s="14"/>
    </x:row>
    <x:row r="275">
      <x:c r="A275" s="14"/>
      <x:c r="B275" s="14"/>
      <x:c r="C275" s="14"/>
      <x:c r="D275" s="14"/>
      <x:c r="E275" s="26"/>
      <x:c r="F275" s="26"/>
      <x:c r="G275" s="26"/>
      <x:c r="H275" s="26"/>
      <x:c r="I275" s="26"/>
      <x:c r="J275" s="14"/>
      <x:c r="K275" s="14"/>
      <x:c r="L275" s="14"/>
      <x:c r="M275" s="14"/>
      <x:c r="N275" s="14"/>
    </x:row>
    <x:row r="276">
      <x:c r="A276" s="14"/>
      <x:c r="B276" s="14"/>
      <x:c r="C276" s="14"/>
      <x:c r="D276" s="14"/>
      <x:c r="E276" s="26"/>
      <x:c r="F276" s="26"/>
      <x:c r="G276" s="26"/>
      <x:c r="H276" s="26"/>
      <x:c r="I276" s="26"/>
      <x:c r="J276" s="14"/>
      <x:c r="K276" s="14"/>
      <x:c r="L276" s="14"/>
      <x:c r="M276" s="14"/>
      <x:c r="N276" s="14"/>
    </x:row>
    <x:row r="277">
      <x:c r="A277" s="14"/>
      <x:c r="B277" s="14"/>
      <x:c r="C277" s="14"/>
      <x:c r="D277" s="14"/>
      <x:c r="E277" s="26"/>
      <x:c r="F277" s="26"/>
      <x:c r="G277" s="26"/>
      <x:c r="H277" s="26"/>
      <x:c r="I277" s="26"/>
      <x:c r="J277" s="14"/>
      <x:c r="K277" s="14"/>
      <x:c r="L277" s="14"/>
      <x:c r="M277" s="14"/>
      <x:c r="N277" s="14"/>
    </x:row>
    <x:row r="278">
      <x:c r="A278" s="14"/>
      <x:c r="B278" s="14"/>
      <x:c r="C278" s="14"/>
      <x:c r="D278" s="14"/>
      <x:c r="E278" s="26"/>
      <x:c r="F278" s="26"/>
      <x:c r="G278" s="26"/>
      <x:c r="H278" s="26"/>
      <x:c r="I278" s="26"/>
      <x:c r="J278" s="14"/>
      <x:c r="K278" s="14"/>
      <x:c r="L278" s="14"/>
      <x:c r="M278" s="14"/>
      <x:c r="N278" s="14"/>
    </x:row>
    <x:row r="279">
      <x:c r="A279" s="14"/>
      <x:c r="B279" s="14"/>
      <x:c r="C279" s="14"/>
      <x:c r="D279" s="14"/>
      <x:c r="E279" s="26"/>
      <x:c r="F279" s="26"/>
      <x:c r="G279" s="26"/>
      <x:c r="H279" s="26"/>
      <x:c r="I279" s="26"/>
      <x:c r="J279" s="14"/>
      <x:c r="K279" s="14"/>
      <x:c r="L279" s="14"/>
      <x:c r="M279" s="14"/>
      <x:c r="N279" s="14"/>
    </x:row>
    <x:row r="280">
      <x:c r="A280" s="14"/>
      <x:c r="B280" s="14"/>
      <x:c r="C280" s="14"/>
      <x:c r="D280" s="14"/>
      <x:c r="E280" s="26"/>
      <x:c r="F280" s="26"/>
      <x:c r="G280" s="26"/>
      <x:c r="H280" s="26"/>
      <x:c r="I280" s="26"/>
      <x:c r="J280" s="14"/>
      <x:c r="K280" s="14"/>
      <x:c r="L280" s="14"/>
      <x:c r="M280" s="14"/>
      <x:c r="N280" s="14"/>
    </x:row>
    <x:row r="281">
      <x:c r="A281" s="14"/>
      <x:c r="B281" s="14"/>
      <x:c r="C281" s="14"/>
      <x:c r="D281" s="14"/>
      <x:c r="E281" s="26"/>
      <x:c r="F281" s="26"/>
      <x:c r="G281" s="26"/>
      <x:c r="H281" s="26"/>
      <x:c r="I281" s="26"/>
      <x:c r="J281" s="14"/>
      <x:c r="K281" s="14"/>
      <x:c r="L281" s="14"/>
      <x:c r="M281" s="14"/>
      <x:c r="N281" s="14"/>
    </x:row>
    <x:row r="282">
      <x:c r="A282" s="14"/>
      <x:c r="B282" s="14"/>
      <x:c r="C282" s="14"/>
      <x:c r="D282" s="14"/>
      <x:c r="E282" s="26"/>
      <x:c r="F282" s="26"/>
      <x:c r="G282" s="26"/>
      <x:c r="H282" s="26"/>
      <x:c r="I282" s="26"/>
      <x:c r="J282" s="14"/>
      <x:c r="K282" s="14"/>
      <x:c r="L282" s="14"/>
      <x:c r="M282" s="14"/>
      <x:c r="N282" s="14"/>
    </x:row>
    <x:row r="283">
      <x:c r="A283" s="14"/>
      <x:c r="B283" s="14"/>
      <x:c r="C283" s="14"/>
      <x:c r="D283" s="14"/>
      <x:c r="E283" s="26"/>
      <x:c r="F283" s="26"/>
      <x:c r="G283" s="26"/>
      <x:c r="H283" s="26"/>
      <x:c r="I283" s="26"/>
      <x:c r="J283" s="14"/>
      <x:c r="K283" s="14"/>
      <x:c r="L283" s="14"/>
      <x:c r="M283" s="14"/>
      <x:c r="N283" s="14"/>
    </x:row>
    <x:row r="284">
      <x:c r="A284" s="14"/>
      <x:c r="B284" s="14"/>
      <x:c r="C284" s="14"/>
      <x:c r="D284" s="14"/>
      <x:c r="E284" s="26"/>
      <x:c r="F284" s="26"/>
      <x:c r="G284" s="26"/>
      <x:c r="H284" s="26"/>
      <x:c r="I284" s="26"/>
      <x:c r="J284" s="14"/>
      <x:c r="K284" s="14"/>
      <x:c r="L284" s="14"/>
      <x:c r="M284" s="14"/>
      <x:c r="N284" s="14"/>
    </x:row>
    <x:row r="285">
      <x:c r="A285" s="14"/>
      <x:c r="B285" s="14"/>
      <x:c r="C285" s="14"/>
      <x:c r="D285" s="14"/>
      <x:c r="E285" s="26"/>
      <x:c r="F285" s="26"/>
      <x:c r="G285" s="26"/>
      <x:c r="H285" s="26"/>
      <x:c r="I285" s="26"/>
      <x:c r="J285" s="14"/>
      <x:c r="K285" s="14"/>
      <x:c r="L285" s="14"/>
      <x:c r="M285" s="14"/>
      <x:c r="N285" s="14"/>
    </x:row>
    <x:row r="286">
      <x:c r="A286" s="14"/>
      <x:c r="B286" s="14"/>
      <x:c r="C286" s="14"/>
      <x:c r="D286" s="14"/>
      <x:c r="E286" s="26"/>
      <x:c r="F286" s="26"/>
      <x:c r="G286" s="26"/>
      <x:c r="H286" s="26"/>
      <x:c r="I286" s="26"/>
      <x:c r="J286" s="14"/>
      <x:c r="K286" s="14"/>
      <x:c r="L286" s="14"/>
      <x:c r="M286" s="14"/>
      <x:c r="N286" s="14"/>
    </x:row>
    <x:row r="287">
      <x:c r="A287" s="14"/>
      <x:c r="B287" s="14"/>
      <x:c r="C287" s="14"/>
      <x:c r="D287" s="14"/>
      <x:c r="E287" s="26"/>
      <x:c r="F287" s="26"/>
      <x:c r="G287" s="26"/>
      <x:c r="H287" s="26"/>
      <x:c r="I287" s="26"/>
      <x:c r="J287" s="14"/>
      <x:c r="K287" s="14"/>
      <x:c r="L287" s="14"/>
      <x:c r="M287" s="14"/>
      <x:c r="N287" s="14"/>
    </x:row>
    <x:row r="288">
      <x:c r="A288" s="14"/>
      <x:c r="B288" s="14"/>
      <x:c r="C288" s="14"/>
      <x:c r="D288" s="14"/>
      <x:c r="E288" s="26"/>
      <x:c r="F288" s="26"/>
      <x:c r="G288" s="26"/>
      <x:c r="H288" s="26"/>
      <x:c r="I288" s="26"/>
      <x:c r="J288" s="14"/>
      <x:c r="K288" s="14"/>
      <x:c r="L288" s="14"/>
      <x:c r="M288" s="14"/>
      <x:c r="N288" s="14"/>
    </x:row>
    <x:row r="289">
      <x:c r="A289" s="14"/>
      <x:c r="B289" s="14"/>
      <x:c r="C289" s="14"/>
      <x:c r="D289" s="14"/>
      <x:c r="E289" s="26"/>
      <x:c r="F289" s="26"/>
      <x:c r="G289" s="26"/>
      <x:c r="H289" s="26"/>
      <x:c r="I289" s="26"/>
      <x:c r="J289" s="14"/>
      <x:c r="K289" s="14"/>
      <x:c r="L289" s="14"/>
      <x:c r="M289" s="14"/>
      <x:c r="N289" s="14"/>
    </x:row>
    <x:row r="290">
      <x:c r="A290" s="14"/>
      <x:c r="B290" s="14"/>
      <x:c r="C290" s="14"/>
      <x:c r="D290" s="14"/>
      <x:c r="E290" s="26"/>
      <x:c r="F290" s="26"/>
      <x:c r="G290" s="26"/>
      <x:c r="H290" s="26"/>
      <x:c r="I290" s="26"/>
      <x:c r="J290" s="14"/>
      <x:c r="K290" s="14"/>
      <x:c r="L290" s="14"/>
      <x:c r="M290" s="14"/>
      <x:c r="N290" s="14"/>
    </x:row>
    <x:row r="291">
      <x:c r="A291" s="14"/>
      <x:c r="B291" s="14"/>
      <x:c r="C291" s="14"/>
      <x:c r="D291" s="14"/>
      <x:c r="E291" s="26"/>
      <x:c r="F291" s="26"/>
      <x:c r="G291" s="26"/>
      <x:c r="H291" s="26"/>
      <x:c r="I291" s="26"/>
      <x:c r="J291" s="14"/>
      <x:c r="K291" s="14"/>
      <x:c r="L291" s="14"/>
      <x:c r="M291" s="14"/>
      <x:c r="N291" s="14"/>
    </x:row>
    <x:row r="292">
      <x:c r="A292" s="14"/>
      <x:c r="B292" s="14"/>
      <x:c r="C292" s="14"/>
      <x:c r="D292" s="14"/>
      <x:c r="E292" s="26"/>
      <x:c r="F292" s="26"/>
      <x:c r="G292" s="26"/>
      <x:c r="H292" s="26"/>
      <x:c r="I292" s="26"/>
      <x:c r="J292" s="14"/>
      <x:c r="K292" s="14"/>
      <x:c r="L292" s="14"/>
      <x:c r="M292" s="14"/>
      <x:c r="N292" s="14"/>
    </x:row>
    <x:row r="293">
      <x:c r="A293" s="14"/>
      <x:c r="B293" s="14"/>
      <x:c r="C293" s="14"/>
      <x:c r="D293" s="14"/>
      <x:c r="E293" s="26"/>
      <x:c r="F293" s="26"/>
      <x:c r="G293" s="26"/>
      <x:c r="H293" s="26"/>
      <x:c r="I293" s="26"/>
      <x:c r="J293" s="14"/>
      <x:c r="K293" s="14"/>
      <x:c r="L293" s="14"/>
      <x:c r="M293" s="14"/>
      <x:c r="N293" s="14"/>
    </x:row>
    <x:row r="294">
      <x:c r="A294" s="14"/>
      <x:c r="B294" s="14"/>
      <x:c r="C294" s="14"/>
      <x:c r="D294" s="14"/>
      <x:c r="E294" s="26"/>
      <x:c r="F294" s="26"/>
      <x:c r="G294" s="26"/>
      <x:c r="H294" s="26"/>
      <x:c r="I294" s="26"/>
      <x:c r="J294" s="14"/>
      <x:c r="K294" s="14"/>
      <x:c r="L294" s="14"/>
      <x:c r="M294" s="14"/>
      <x:c r="N294" s="14"/>
    </x:row>
    <x:row r="295">
      <x:c r="A295" s="14"/>
      <x:c r="B295" s="14"/>
      <x:c r="C295" s="14"/>
      <x:c r="D295" s="14"/>
      <x:c r="E295" s="26"/>
      <x:c r="F295" s="26"/>
      <x:c r="G295" s="26"/>
      <x:c r="H295" s="26"/>
      <x:c r="I295" s="26"/>
      <x:c r="J295" s="14"/>
      <x:c r="K295" s="14"/>
      <x:c r="L295" s="14"/>
      <x:c r="M295" s="14"/>
      <x:c r="N295" s="14"/>
    </x:row>
    <x:row r="296">
      <x:c r="A296" s="14"/>
      <x:c r="B296" s="14"/>
      <x:c r="C296" s="14"/>
      <x:c r="D296" s="14"/>
      <x:c r="E296" s="26"/>
      <x:c r="F296" s="26"/>
      <x:c r="G296" s="26"/>
      <x:c r="H296" s="26"/>
      <x:c r="I296" s="26"/>
      <x:c r="J296" s="14"/>
      <x:c r="K296" s="14"/>
      <x:c r="L296" s="14"/>
      <x:c r="M296" s="14"/>
      <x:c r="N296" s="14"/>
    </x:row>
    <x:row r="297">
      <x:c r="A297" s="14"/>
      <x:c r="B297" s="14"/>
      <x:c r="C297" s="14"/>
      <x:c r="D297" s="14"/>
      <x:c r="E297" s="26"/>
      <x:c r="F297" s="26"/>
      <x:c r="G297" s="26"/>
      <x:c r="H297" s="26"/>
      <x:c r="I297" s="26"/>
      <x:c r="J297" s="14"/>
      <x:c r="K297" s="14"/>
      <x:c r="L297" s="14"/>
      <x:c r="M297" s="14"/>
      <x:c r="N297" s="14"/>
    </x:row>
    <x:row r="298">
      <x:c r="A298" s="14"/>
      <x:c r="B298" s="14"/>
      <x:c r="C298" s="14"/>
      <x:c r="D298" s="14"/>
      <x:c r="E298" s="26"/>
      <x:c r="F298" s="26"/>
      <x:c r="G298" s="26"/>
      <x:c r="H298" s="26"/>
      <x:c r="I298" s="26"/>
      <x:c r="J298" s="14"/>
      <x:c r="K298" s="14"/>
      <x:c r="L298" s="14"/>
      <x:c r="M298" s="14"/>
      <x:c r="N298" s="14"/>
    </x:row>
    <x:row r="299">
      <x:c r="A299" s="14"/>
      <x:c r="B299" s="14"/>
      <x:c r="C299" s="14"/>
      <x:c r="D299" s="14"/>
      <x:c r="E299" s="26"/>
      <x:c r="F299" s="26"/>
      <x:c r="G299" s="26"/>
      <x:c r="H299" s="26"/>
      <x:c r="I299" s="26"/>
      <x:c r="J299" s="14"/>
      <x:c r="K299" s="14"/>
      <x:c r="L299" s="14"/>
      <x:c r="M299" s="14"/>
      <x:c r="N299" s="14"/>
    </x:row>
    <x:row r="300">
      <x:c r="A300" s="14"/>
      <x:c r="B300" s="14"/>
      <x:c r="C300" s="14"/>
      <x:c r="D300" s="14"/>
      <x:c r="E300" s="26"/>
      <x:c r="F300" s="26"/>
      <x:c r="G300" s="26"/>
      <x:c r="H300" s="26"/>
      <x:c r="I300" s="26"/>
      <x:c r="J300" s="14"/>
      <x:c r="K300" s="14"/>
      <x:c r="L300" s="14"/>
      <x:c r="M300" s="14"/>
      <x:c r="N300" s="14"/>
    </x:row>
    <x:row r="301">
      <x:c r="A301" s="14"/>
      <x:c r="B301" s="14"/>
      <x:c r="C301" s="14"/>
      <x:c r="D301" s="14"/>
      <x:c r="E301" s="26"/>
      <x:c r="F301" s="26"/>
      <x:c r="G301" s="26"/>
      <x:c r="H301" s="26"/>
      <x:c r="I301" s="26"/>
      <x:c r="J301" s="14"/>
      <x:c r="K301" s="14"/>
      <x:c r="L301" s="14"/>
      <x:c r="M301" s="14"/>
      <x:c r="N301" s="14"/>
    </x:row>
    <x:row r="302">
      <x:c r="A302" s="14"/>
      <x:c r="B302" s="14"/>
      <x:c r="C302" s="14"/>
      <x:c r="D302" s="14"/>
      <x:c r="E302" s="26"/>
      <x:c r="F302" s="26"/>
      <x:c r="G302" s="26"/>
      <x:c r="H302" s="26"/>
      <x:c r="I302" s="26"/>
      <x:c r="J302" s="14"/>
      <x:c r="K302" s="14"/>
      <x:c r="L302" s="14"/>
      <x:c r="M302" s="14"/>
      <x:c r="N302" s="14"/>
    </x:row>
    <x:row r="303">
      <x:c r="A303" s="14"/>
      <x:c r="B303" s="14"/>
      <x:c r="C303" s="14"/>
      <x:c r="D303" s="14"/>
      <x:c r="E303" s="26"/>
      <x:c r="F303" s="26"/>
      <x:c r="G303" s="26"/>
      <x:c r="H303" s="26"/>
      <x:c r="I303" s="26"/>
      <x:c r="J303" s="14"/>
      <x:c r="K303" s="14"/>
      <x:c r="L303" s="14"/>
      <x:c r="M303" s="14"/>
      <x:c r="N303" s="14"/>
    </x:row>
    <x:row r="304">
      <x:c r="A304" s="14"/>
      <x:c r="B304" s="14"/>
      <x:c r="C304" s="14"/>
      <x:c r="D304" s="14"/>
      <x:c r="E304" s="26"/>
      <x:c r="F304" s="26"/>
      <x:c r="G304" s="26"/>
      <x:c r="H304" s="26"/>
      <x:c r="I304" s="26"/>
      <x:c r="J304" s="14"/>
      <x:c r="K304" s="14"/>
      <x:c r="L304" s="14"/>
      <x:c r="M304" s="14"/>
      <x:c r="N304" s="14"/>
    </x:row>
    <x:row r="305">
      <x:c r="A305" s="14"/>
      <x:c r="B305" s="14"/>
      <x:c r="C305" s="14"/>
      <x:c r="D305" s="14"/>
      <x:c r="E305" s="26"/>
      <x:c r="F305" s="26"/>
      <x:c r="G305" s="26"/>
      <x:c r="H305" s="26"/>
      <x:c r="I305" s="26"/>
      <x:c r="J305" s="14"/>
      <x:c r="K305" s="14"/>
      <x:c r="L305" s="14"/>
      <x:c r="M305" s="14"/>
      <x:c r="N305" s="14"/>
    </x:row>
    <x:row r="306">
      <x:c r="A306" s="14"/>
      <x:c r="B306" s="14"/>
      <x:c r="C306" s="14"/>
      <x:c r="D306" s="14"/>
      <x:c r="E306" s="26"/>
      <x:c r="F306" s="26"/>
      <x:c r="G306" s="26"/>
      <x:c r="H306" s="26"/>
      <x:c r="I306" s="26"/>
      <x:c r="J306" s="14"/>
      <x:c r="K306" s="14"/>
      <x:c r="L306" s="14"/>
      <x:c r="M306" s="14"/>
      <x:c r="N306" s="14"/>
    </x:row>
    <x:row r="307">
      <x:c r="A307" s="14"/>
      <x:c r="B307" s="14"/>
      <x:c r="C307" s="14"/>
      <x:c r="D307" s="14"/>
      <x:c r="E307" s="26"/>
      <x:c r="F307" s="26"/>
      <x:c r="G307" s="26"/>
      <x:c r="H307" s="26"/>
      <x:c r="I307" s="26"/>
      <x:c r="J307" s="14"/>
      <x:c r="K307" s="14"/>
      <x:c r="L307" s="14"/>
      <x:c r="M307" s="14"/>
      <x:c r="N307" s="14"/>
    </x:row>
    <x:row r="308">
      <x:c r="A308" s="14"/>
      <x:c r="B308" s="14"/>
      <x:c r="C308" s="14"/>
      <x:c r="D308" s="14"/>
      <x:c r="E308" s="26"/>
      <x:c r="F308" s="26"/>
      <x:c r="G308" s="26"/>
      <x:c r="H308" s="26"/>
      <x:c r="I308" s="26"/>
      <x:c r="J308" s="14"/>
      <x:c r="K308" s="14"/>
      <x:c r="L308" s="14"/>
      <x:c r="M308" s="14"/>
      <x:c r="N308" s="14"/>
    </x:row>
    <x:row r="309">
      <x:c r="A309" s="14"/>
      <x:c r="B309" s="14"/>
      <x:c r="C309" s="14"/>
      <x:c r="D309" s="14"/>
      <x:c r="E309" s="26"/>
      <x:c r="F309" s="26"/>
      <x:c r="G309" s="26"/>
      <x:c r="H309" s="26"/>
      <x:c r="I309" s="26"/>
      <x:c r="J309" s="14"/>
      <x:c r="K309" s="14"/>
      <x:c r="L309" s="14"/>
      <x:c r="M309" s="14"/>
      <x:c r="N309" s="14"/>
    </x:row>
    <x:row r="310">
      <x:c r="A310" s="14"/>
      <x:c r="B310" s="14"/>
      <x:c r="C310" s="14"/>
      <x:c r="D310" s="14"/>
      <x:c r="E310" s="26"/>
      <x:c r="F310" s="26"/>
      <x:c r="G310" s="26"/>
      <x:c r="H310" s="26"/>
      <x:c r="I310" s="26"/>
      <x:c r="J310" s="14"/>
      <x:c r="K310" s="14"/>
      <x:c r="L310" s="14"/>
      <x:c r="M310" s="14"/>
      <x:c r="N310" s="14"/>
    </x:row>
    <x:row r="311">
      <x:c r="A311" s="14"/>
      <x:c r="B311" s="14"/>
      <x:c r="C311" s="14"/>
      <x:c r="D311" s="14"/>
      <x:c r="E311" s="26"/>
      <x:c r="F311" s="26"/>
      <x:c r="G311" s="26"/>
      <x:c r="H311" s="26"/>
      <x:c r="I311" s="26"/>
      <x:c r="J311" s="14"/>
      <x:c r="K311" s="14"/>
      <x:c r="L311" s="14"/>
      <x:c r="M311" s="14"/>
      <x:c r="N311" s="14"/>
    </x:row>
    <x:row r="312">
      <x:c r="A312" s="14"/>
      <x:c r="B312" s="14"/>
      <x:c r="C312" s="14"/>
      <x:c r="D312" s="14"/>
      <x:c r="E312" s="26"/>
      <x:c r="F312" s="26"/>
      <x:c r="G312" s="26"/>
      <x:c r="H312" s="26"/>
      <x:c r="I312" s="26"/>
      <x:c r="J312" s="14"/>
      <x:c r="K312" s="14"/>
      <x:c r="L312" s="14"/>
      <x:c r="M312" s="14"/>
      <x:c r="N312" s="14"/>
    </x:row>
    <x:row r="313">
      <x:c r="A313" s="14"/>
      <x:c r="B313" s="14"/>
      <x:c r="C313" s="14"/>
      <x:c r="D313" s="14"/>
      <x:c r="E313" s="26"/>
      <x:c r="F313" s="26"/>
      <x:c r="G313" s="26"/>
      <x:c r="H313" s="26"/>
      <x:c r="I313" s="26"/>
      <x:c r="J313" s="14"/>
      <x:c r="K313" s="14"/>
      <x:c r="L313" s="14"/>
      <x:c r="M313" s="14"/>
      <x:c r="N313" s="14"/>
    </x:row>
    <x:row r="314">
      <x:c r="A314" s="14"/>
      <x:c r="B314" s="14"/>
      <x:c r="C314" s="14"/>
      <x:c r="D314" s="14"/>
      <x:c r="E314" s="26"/>
      <x:c r="F314" s="26"/>
      <x:c r="G314" s="26"/>
      <x:c r="H314" s="26"/>
      <x:c r="I314" s="26"/>
      <x:c r="J314" s="14"/>
      <x:c r="K314" s="14"/>
      <x:c r="L314" s="14"/>
      <x:c r="M314" s="14"/>
      <x:c r="N314" s="14"/>
    </x:row>
    <x:row r="315">
      <x:c r="A315" s="14"/>
      <x:c r="B315" s="14"/>
      <x:c r="C315" s="14"/>
      <x:c r="D315" s="14"/>
      <x:c r="E315" s="26"/>
      <x:c r="F315" s="26"/>
      <x:c r="G315" s="26"/>
      <x:c r="H315" s="26"/>
      <x:c r="I315" s="26"/>
      <x:c r="J315" s="14"/>
      <x:c r="K315" s="14"/>
      <x:c r="L315" s="14"/>
      <x:c r="M315" s="14"/>
      <x:c r="N315" s="14"/>
    </x:row>
    <x:row r="316">
      <x:c r="A316" s="14"/>
      <x:c r="B316" s="14"/>
      <x:c r="C316" s="14"/>
      <x:c r="D316" s="14"/>
      <x:c r="E316" s="26"/>
      <x:c r="F316" s="26"/>
      <x:c r="G316" s="26"/>
      <x:c r="H316" s="26"/>
      <x:c r="I316" s="26"/>
      <x:c r="J316" s="14"/>
      <x:c r="K316" s="14"/>
      <x:c r="L316" s="14"/>
      <x:c r="M316" s="14"/>
      <x:c r="N316" s="14"/>
    </x:row>
    <x:row r="317">
      <x:c r="A317" s="14"/>
      <x:c r="B317" s="14"/>
      <x:c r="C317" s="14"/>
      <x:c r="D317" s="14"/>
      <x:c r="E317" s="26"/>
      <x:c r="F317" s="26"/>
      <x:c r="G317" s="26"/>
      <x:c r="H317" s="26"/>
      <x:c r="I317" s="26"/>
      <x:c r="J317" s="14"/>
      <x:c r="K317" s="14"/>
      <x:c r="L317" s="14"/>
      <x:c r="M317" s="14"/>
      <x:c r="N317" s="14"/>
    </x:row>
    <x:row r="318">
      <x:c r="A318" s="14"/>
      <x:c r="B318" s="14"/>
      <x:c r="C318" s="14"/>
      <x:c r="D318" s="14"/>
      <x:c r="E318" s="26"/>
      <x:c r="F318" s="26"/>
      <x:c r="G318" s="26"/>
      <x:c r="H318" s="26"/>
      <x:c r="I318" s="26"/>
      <x:c r="J318" s="14"/>
      <x:c r="K318" s="14"/>
      <x:c r="L318" s="14"/>
      <x:c r="M318" s="14"/>
      <x:c r="N318" s="14"/>
    </x:row>
    <x:row r="319">
      <x:c r="A319" s="14"/>
      <x:c r="B319" s="14"/>
      <x:c r="C319" s="14"/>
      <x:c r="D319" s="14"/>
      <x:c r="E319" s="26"/>
      <x:c r="F319" s="26"/>
      <x:c r="G319" s="26"/>
      <x:c r="H319" s="26"/>
      <x:c r="I319" s="26"/>
      <x:c r="J319" s="14"/>
      <x:c r="K319" s="14"/>
      <x:c r="L319" s="14"/>
      <x:c r="M319" s="14"/>
      <x:c r="N319" s="14"/>
    </x:row>
    <x:row r="320">
      <x:c r="A320" s="14"/>
      <x:c r="B320" s="14"/>
      <x:c r="C320" s="14"/>
      <x:c r="D320" s="14"/>
      <x:c r="E320" s="26"/>
      <x:c r="F320" s="26"/>
      <x:c r="G320" s="26"/>
      <x:c r="H320" s="26"/>
      <x:c r="I320" s="26"/>
      <x:c r="J320" s="14"/>
      <x:c r="K320" s="14"/>
      <x:c r="L320" s="14"/>
      <x:c r="M320" s="14"/>
      <x:c r="N320" s="14"/>
    </x:row>
    <x:row r="321">
      <x:c r="A321" s="14"/>
      <x:c r="B321" s="14"/>
      <x:c r="C321" s="14"/>
      <x:c r="D321" s="14"/>
      <x:c r="E321" s="26"/>
      <x:c r="F321" s="26"/>
      <x:c r="G321" s="26"/>
      <x:c r="H321" s="26"/>
      <x:c r="I321" s="26"/>
      <x:c r="J321" s="14"/>
      <x:c r="K321" s="14"/>
      <x:c r="L321" s="14"/>
      <x:c r="M321" s="14"/>
      <x:c r="N321" s="14"/>
    </x:row>
    <x:row r="322">
      <x:c r="A322" s="14"/>
      <x:c r="B322" s="14"/>
      <x:c r="C322" s="14"/>
      <x:c r="D322" s="14"/>
      <x:c r="E322" s="26"/>
      <x:c r="F322" s="26"/>
      <x:c r="G322" s="26"/>
      <x:c r="H322" s="26"/>
      <x:c r="I322" s="26"/>
      <x:c r="J322" s="14"/>
      <x:c r="K322" s="14"/>
      <x:c r="L322" s="14"/>
      <x:c r="M322" s="14"/>
      <x:c r="N322" s="14"/>
    </x:row>
    <x:row r="323">
      <x:c r="A323" s="14"/>
      <x:c r="B323" s="14"/>
      <x:c r="C323" s="14"/>
      <x:c r="D323" s="14"/>
      <x:c r="E323" s="26"/>
      <x:c r="F323" s="26"/>
      <x:c r="G323" s="26"/>
      <x:c r="H323" s="26"/>
      <x:c r="I323" s="26"/>
      <x:c r="J323" s="14"/>
      <x:c r="K323" s="14"/>
      <x:c r="L323" s="14"/>
      <x:c r="M323" s="14"/>
      <x:c r="N323" s="14"/>
    </x:row>
    <x:row r="324">
      <x:c r="A324" s="14"/>
      <x:c r="B324" s="14"/>
      <x:c r="C324" s="14"/>
      <x:c r="D324" s="14"/>
      <x:c r="E324" s="26"/>
      <x:c r="F324" s="26"/>
      <x:c r="G324" s="26"/>
      <x:c r="H324" s="26"/>
      <x:c r="I324" s="26"/>
      <x:c r="J324" s="14"/>
      <x:c r="K324" s="14"/>
      <x:c r="L324" s="14"/>
      <x:c r="M324" s="14"/>
      <x:c r="N324" s="14"/>
    </x:row>
    <x:row r="325">
      <x:c r="A325" s="14"/>
      <x:c r="B325" s="14"/>
      <x:c r="C325" s="14"/>
      <x:c r="D325" s="14"/>
      <x:c r="E325" s="26"/>
      <x:c r="F325" s="26"/>
      <x:c r="G325" s="26"/>
      <x:c r="H325" s="26"/>
      <x:c r="I325" s="26"/>
      <x:c r="J325" s="14"/>
      <x:c r="K325" s="14"/>
      <x:c r="L325" s="14"/>
      <x:c r="M325" s="14"/>
      <x:c r="N325" s="14"/>
    </x:row>
    <x:row r="326">
      <x:c r="A326" s="14"/>
      <x:c r="B326" s="14"/>
      <x:c r="C326" s="14"/>
      <x:c r="D326" s="14"/>
      <x:c r="E326" s="26"/>
      <x:c r="F326" s="26"/>
      <x:c r="G326" s="26"/>
      <x:c r="H326" s="26"/>
      <x:c r="I326" s="26"/>
      <x:c r="J326" s="14"/>
      <x:c r="K326" s="14"/>
      <x:c r="L326" s="14"/>
      <x:c r="M326" s="14"/>
      <x:c r="N326" s="14"/>
    </x:row>
    <x:row r="327">
      <x:c r="A327" s="14"/>
      <x:c r="B327" s="14"/>
      <x:c r="C327" s="14"/>
      <x:c r="D327" s="14"/>
      <x:c r="E327" s="26"/>
      <x:c r="F327" s="26"/>
      <x:c r="G327" s="26"/>
      <x:c r="H327" s="26"/>
      <x:c r="I327" s="26"/>
      <x:c r="J327" s="14"/>
      <x:c r="K327" s="14"/>
      <x:c r="L327" s="14"/>
      <x:c r="M327" s="14"/>
      <x:c r="N327" s="14"/>
    </x:row>
    <x:row r="328">
      <x:c r="A328" s="14"/>
      <x:c r="B328" s="14"/>
      <x:c r="C328" s="14"/>
      <x:c r="D328" s="14"/>
      <x:c r="E328" s="26"/>
      <x:c r="F328" s="26"/>
      <x:c r="G328" s="26"/>
      <x:c r="H328" s="26"/>
      <x:c r="I328" s="26"/>
      <x:c r="J328" s="14"/>
      <x:c r="K328" s="14"/>
      <x:c r="L328" s="14"/>
      <x:c r="M328" s="14"/>
      <x:c r="N328" s="14"/>
    </x:row>
    <x:row r="329">
      <x:c r="A329" s="14"/>
      <x:c r="B329" s="14"/>
      <x:c r="C329" s="14"/>
      <x:c r="D329" s="14"/>
      <x:c r="E329" s="26"/>
      <x:c r="F329" s="26"/>
      <x:c r="G329" s="26"/>
      <x:c r="H329" s="26"/>
      <x:c r="I329" s="26"/>
      <x:c r="J329" s="14"/>
      <x:c r="K329" s="14"/>
      <x:c r="L329" s="14"/>
      <x:c r="M329" s="14"/>
      <x:c r="N329" s="14"/>
    </x:row>
    <x:row r="330">
      <x:c r="A330" s="14"/>
      <x:c r="B330" s="14"/>
      <x:c r="C330" s="14"/>
      <x:c r="D330" s="14"/>
      <x:c r="E330" s="26"/>
      <x:c r="F330" s="26"/>
      <x:c r="G330" s="26"/>
      <x:c r="H330" s="26"/>
      <x:c r="I330" s="26"/>
      <x:c r="J330" s="14"/>
      <x:c r="K330" s="14"/>
      <x:c r="L330" s="14"/>
      <x:c r="M330" s="14"/>
      <x:c r="N330" s="14"/>
    </x:row>
    <x:row r="331">
      <x:c r="A331" s="14"/>
      <x:c r="B331" s="14"/>
      <x:c r="C331" s="14"/>
      <x:c r="D331" s="14"/>
      <x:c r="E331" s="26"/>
      <x:c r="F331" s="26"/>
      <x:c r="G331" s="26"/>
      <x:c r="H331" s="26"/>
      <x:c r="I331" s="26"/>
      <x:c r="J331" s="14"/>
      <x:c r="K331" s="14"/>
      <x:c r="L331" s="14"/>
      <x:c r="M331" s="14"/>
      <x:c r="N331" s="14"/>
    </x:row>
    <x:row r="332">
      <x:c r="A332" s="14"/>
      <x:c r="B332" s="14"/>
      <x:c r="C332" s="14"/>
      <x:c r="D332" s="14"/>
      <x:c r="E332" s="26"/>
      <x:c r="F332" s="26"/>
      <x:c r="G332" s="26"/>
      <x:c r="H332" s="26"/>
      <x:c r="I332" s="26"/>
      <x:c r="J332" s="14"/>
      <x:c r="K332" s="14"/>
      <x:c r="L332" s="14"/>
      <x:c r="M332" s="14"/>
      <x:c r="N332" s="14"/>
    </x:row>
    <x:row r="333">
      <x:c r="A333" s="14"/>
      <x:c r="B333" s="14"/>
      <x:c r="C333" s="14"/>
      <x:c r="D333" s="14"/>
      <x:c r="E333" s="26"/>
      <x:c r="F333" s="26"/>
      <x:c r="G333" s="26"/>
      <x:c r="H333" s="26"/>
      <x:c r="I333" s="26"/>
      <x:c r="J333" s="14"/>
      <x:c r="K333" s="14"/>
      <x:c r="L333" s="14"/>
      <x:c r="M333" s="14"/>
      <x:c r="N333" s="14"/>
    </x:row>
    <x:row r="334">
      <x:c r="A334" s="14"/>
      <x:c r="B334" s="14"/>
      <x:c r="C334" s="14"/>
      <x:c r="D334" s="14"/>
      <x:c r="E334" s="26"/>
      <x:c r="F334" s="26"/>
      <x:c r="G334" s="26"/>
      <x:c r="H334" s="26"/>
      <x:c r="I334" s="26"/>
      <x:c r="J334" s="14"/>
      <x:c r="K334" s="14"/>
      <x:c r="L334" s="14"/>
      <x:c r="M334" s="14"/>
      <x:c r="N334" s="14"/>
    </x:row>
    <x:row r="335">
      <x:c r="A335" s="14"/>
      <x:c r="B335" s="14"/>
      <x:c r="C335" s="14"/>
      <x:c r="D335" s="14"/>
      <x:c r="E335" s="26"/>
      <x:c r="F335" s="26"/>
      <x:c r="G335" s="26"/>
      <x:c r="H335" s="26"/>
      <x:c r="I335" s="26"/>
      <x:c r="J335" s="14"/>
      <x:c r="K335" s="14"/>
      <x:c r="L335" s="14"/>
      <x:c r="M335" s="14"/>
      <x:c r="N335" s="14"/>
    </x:row>
    <x:row r="336">
      <x:c r="A336" s="14"/>
      <x:c r="B336" s="14"/>
      <x:c r="C336" s="14"/>
      <x:c r="D336" s="14"/>
      <x:c r="E336" s="26"/>
      <x:c r="F336" s="26"/>
      <x:c r="G336" s="26"/>
      <x:c r="H336" s="26"/>
      <x:c r="I336" s="26"/>
      <x:c r="J336" s="14"/>
      <x:c r="K336" s="14"/>
      <x:c r="L336" s="14"/>
      <x:c r="M336" s="14"/>
      <x:c r="N336" s="14"/>
    </x:row>
    <x:row r="337">
      <x:c r="A337" s="14"/>
      <x:c r="B337" s="14"/>
      <x:c r="C337" s="14"/>
      <x:c r="D337" s="14"/>
      <x:c r="E337" s="26"/>
      <x:c r="F337" s="26"/>
      <x:c r="G337" s="26"/>
      <x:c r="H337" s="26"/>
      <x:c r="I337" s="26"/>
      <x:c r="J337" s="14"/>
      <x:c r="K337" s="14"/>
      <x:c r="L337" s="14"/>
      <x:c r="M337" s="14"/>
      <x:c r="N337" s="14"/>
    </x:row>
    <x:row r="338">
      <x:c r="A338" s="14"/>
      <x:c r="B338" s="14"/>
      <x:c r="C338" s="14"/>
      <x:c r="D338" s="14"/>
      <x:c r="E338" s="26"/>
      <x:c r="F338" s="26"/>
      <x:c r="G338" s="26"/>
      <x:c r="H338" s="26"/>
      <x:c r="I338" s="26"/>
      <x:c r="J338" s="14"/>
      <x:c r="K338" s="14"/>
      <x:c r="L338" s="14"/>
      <x:c r="M338" s="14"/>
      <x:c r="N338" s="14"/>
    </x:row>
    <x:row r="339">
      <x:c r="A339" s="14"/>
      <x:c r="B339" s="14"/>
      <x:c r="C339" s="14"/>
      <x:c r="D339" s="14"/>
      <x:c r="E339" s="26"/>
      <x:c r="F339" s="26"/>
      <x:c r="G339" s="26"/>
      <x:c r="H339" s="26"/>
      <x:c r="I339" s="26"/>
      <x:c r="J339" s="14"/>
      <x:c r="K339" s="14"/>
      <x:c r="L339" s="14"/>
      <x:c r="M339" s="14"/>
      <x:c r="N339" s="14"/>
    </x:row>
    <x:row r="340">
      <x:c r="A340" s="14"/>
      <x:c r="B340" s="14"/>
      <x:c r="C340" s="14"/>
      <x:c r="D340" s="14"/>
      <x:c r="E340" s="26"/>
      <x:c r="F340" s="26"/>
      <x:c r="G340" s="26"/>
      <x:c r="H340" s="26"/>
      <x:c r="I340" s="26"/>
      <x:c r="J340" s="14"/>
      <x:c r="K340" s="14"/>
      <x:c r="L340" s="14"/>
      <x:c r="M340" s="14"/>
      <x:c r="N340" s="14"/>
    </x:row>
    <x:row r="341">
      <x:c r="A341" s="14"/>
      <x:c r="B341" s="14"/>
      <x:c r="C341" s="14"/>
      <x:c r="D341" s="14"/>
      <x:c r="E341" s="26"/>
      <x:c r="F341" s="26"/>
      <x:c r="G341" s="26"/>
      <x:c r="H341" s="26"/>
      <x:c r="I341" s="26"/>
      <x:c r="J341" s="14"/>
      <x:c r="K341" s="14"/>
      <x:c r="L341" s="14"/>
      <x:c r="M341" s="14"/>
      <x:c r="N341" s="14"/>
    </x:row>
    <x:row r="342">
      <x:c r="A342" s="14"/>
      <x:c r="B342" s="14"/>
      <x:c r="C342" s="14"/>
      <x:c r="D342" s="14"/>
      <x:c r="E342" s="26"/>
      <x:c r="F342" s="26"/>
      <x:c r="G342" s="26"/>
      <x:c r="H342" s="26"/>
      <x:c r="I342" s="26"/>
      <x:c r="J342" s="14"/>
      <x:c r="K342" s="14"/>
      <x:c r="L342" s="14"/>
      <x:c r="M342" s="14"/>
      <x:c r="N342" s="14"/>
    </x:row>
    <x:row r="343">
      <x:c r="A343" s="14"/>
      <x:c r="B343" s="14"/>
      <x:c r="C343" s="14"/>
      <x:c r="D343" s="14"/>
      <x:c r="E343" s="26"/>
      <x:c r="F343" s="26"/>
      <x:c r="G343" s="26"/>
      <x:c r="H343" s="26"/>
      <x:c r="I343" s="26"/>
      <x:c r="J343" s="14"/>
      <x:c r="K343" s="14"/>
      <x:c r="L343" s="14"/>
      <x:c r="M343" s="14"/>
      <x:c r="N343" s="14"/>
    </x:row>
    <x:row r="344">
      <x:c r="A344" s="14"/>
      <x:c r="B344" s="14"/>
      <x:c r="C344" s="14"/>
      <x:c r="D344" s="14"/>
      <x:c r="E344" s="26"/>
      <x:c r="F344" s="26"/>
      <x:c r="G344" s="26"/>
      <x:c r="H344" s="26"/>
      <x:c r="I344" s="26"/>
      <x:c r="J344" s="14"/>
      <x:c r="K344" s="14"/>
      <x:c r="L344" s="14"/>
      <x:c r="M344" s="14"/>
      <x:c r="N344" s="14"/>
    </x:row>
    <x:row r="345">
      <x:c r="A345" s="14"/>
      <x:c r="B345" s="14"/>
      <x:c r="C345" s="14"/>
      <x:c r="D345" s="14"/>
      <x:c r="E345" s="26"/>
      <x:c r="F345" s="26"/>
      <x:c r="G345" s="26"/>
      <x:c r="H345" s="26"/>
      <x:c r="I345" s="26"/>
      <x:c r="J345" s="14"/>
      <x:c r="K345" s="14"/>
      <x:c r="L345" s="14"/>
      <x:c r="M345" s="14"/>
      <x:c r="N345" s="14"/>
    </x:row>
    <x:row r="346">
      <x:c r="A346" s="14"/>
      <x:c r="B346" s="14"/>
      <x:c r="C346" s="14"/>
      <x:c r="D346" s="14"/>
      <x:c r="E346" s="26"/>
      <x:c r="F346" s="26"/>
      <x:c r="G346" s="26"/>
      <x:c r="H346" s="26"/>
      <x:c r="I346" s="26"/>
      <x:c r="J346" s="14"/>
      <x:c r="K346" s="14"/>
      <x:c r="L346" s="14"/>
      <x:c r="M346" s="14"/>
      <x:c r="N346" s="14"/>
    </x:row>
    <x:row r="347">
      <x:c r="A347" s="14"/>
      <x:c r="B347" s="14"/>
      <x:c r="C347" s="14"/>
      <x:c r="D347" s="14"/>
      <x:c r="E347" s="26"/>
      <x:c r="F347" s="26"/>
      <x:c r="G347" s="26"/>
      <x:c r="H347" s="26"/>
      <x:c r="I347" s="26"/>
      <x:c r="J347" s="14"/>
      <x:c r="K347" s="14"/>
      <x:c r="L347" s="14"/>
      <x:c r="M347" s="14"/>
      <x:c r="N347" s="14"/>
    </x:row>
    <x:row r="348">
      <x:c r="A348" s="14"/>
      <x:c r="B348" s="14"/>
      <x:c r="C348" s="14"/>
      <x:c r="D348" s="14"/>
      <x:c r="E348" s="26"/>
      <x:c r="F348" s="26"/>
      <x:c r="G348" s="26"/>
      <x:c r="H348" s="26"/>
      <x:c r="I348" s="26"/>
      <x:c r="J348" s="14"/>
      <x:c r="K348" s="14"/>
      <x:c r="L348" s="14"/>
      <x:c r="M348" s="14"/>
      <x:c r="N348" s="14"/>
    </x:row>
    <x:row r="349">
      <x:c r="A349" s="14"/>
      <x:c r="B349" s="14"/>
      <x:c r="C349" s="14"/>
      <x:c r="D349" s="14"/>
      <x:c r="E349" s="26"/>
      <x:c r="F349" s="26"/>
      <x:c r="G349" s="26"/>
      <x:c r="H349" s="26"/>
      <x:c r="I349" s="26"/>
      <x:c r="J349" s="14"/>
      <x:c r="K349" s="14"/>
      <x:c r="L349" s="14"/>
      <x:c r="M349" s="14"/>
      <x:c r="N349" s="14"/>
    </x:row>
    <x:row r="350">
      <x:c r="A350" s="14"/>
      <x:c r="B350" s="14"/>
      <x:c r="C350" s="14"/>
      <x:c r="D350" s="14"/>
      <x:c r="E350" s="26"/>
      <x:c r="F350" s="26"/>
      <x:c r="G350" s="26"/>
      <x:c r="H350" s="26"/>
      <x:c r="I350" s="26"/>
      <x:c r="J350" s="14"/>
      <x:c r="K350" s="14"/>
      <x:c r="L350" s="14"/>
      <x:c r="M350" s="14"/>
      <x:c r="N350" s="14"/>
    </x:row>
    <x:row r="351">
      <x:c r="A351" s="14"/>
      <x:c r="B351" s="14"/>
      <x:c r="C351" s="14"/>
      <x:c r="D351" s="14"/>
      <x:c r="E351" s="26"/>
      <x:c r="F351" s="26"/>
      <x:c r="G351" s="26"/>
      <x:c r="H351" s="26"/>
      <x:c r="I351" s="26"/>
      <x:c r="J351" s="14"/>
      <x:c r="K351" s="14"/>
      <x:c r="L351" s="14"/>
      <x:c r="M351" s="14"/>
      <x:c r="N351" s="14"/>
    </x:row>
    <x:row r="352">
      <x:c r="A352" s="14"/>
      <x:c r="B352" s="14"/>
      <x:c r="C352" s="14"/>
      <x:c r="D352" s="14"/>
      <x:c r="E352" s="26"/>
      <x:c r="F352" s="26"/>
      <x:c r="G352" s="26"/>
      <x:c r="H352" s="26"/>
      <x:c r="I352" s="26"/>
      <x:c r="J352" s="14"/>
      <x:c r="K352" s="14"/>
      <x:c r="L352" s="14"/>
      <x:c r="M352" s="14"/>
      <x:c r="N352" s="14"/>
    </x:row>
    <x:row r="353">
      <x:c r="A353" s="14"/>
      <x:c r="B353" s="14"/>
      <x:c r="C353" s="14"/>
      <x:c r="D353" s="14"/>
      <x:c r="E353" s="26"/>
      <x:c r="F353" s="26"/>
      <x:c r="G353" s="26"/>
      <x:c r="H353" s="26"/>
      <x:c r="I353" s="26"/>
      <x:c r="J353" s="14"/>
      <x:c r="K353" s="14"/>
      <x:c r="L353" s="14"/>
      <x:c r="M353" s="14"/>
      <x:c r="N353" s="14"/>
    </x:row>
    <x:row r="354">
      <x:c r="A354" s="14"/>
      <x:c r="B354" s="14"/>
      <x:c r="C354" s="14"/>
      <x:c r="D354" s="14"/>
      <x:c r="E354" s="26"/>
      <x:c r="F354" s="26"/>
      <x:c r="G354" s="26"/>
      <x:c r="H354" s="26"/>
      <x:c r="I354" s="26"/>
      <x:c r="J354" s="14"/>
      <x:c r="K354" s="14"/>
      <x:c r="L354" s="14"/>
      <x:c r="M354" s="14"/>
      <x:c r="N354" s="14"/>
    </x:row>
    <x:row r="355">
      <x:c r="A355" s="14"/>
      <x:c r="B355" s="14"/>
      <x:c r="C355" s="14"/>
      <x:c r="D355" s="14"/>
      <x:c r="E355" s="26"/>
      <x:c r="F355" s="26"/>
      <x:c r="G355" s="26"/>
      <x:c r="H355" s="26"/>
      <x:c r="I355" s="26"/>
      <x:c r="J355" s="14"/>
      <x:c r="K355" s="14"/>
      <x:c r="L355" s="14"/>
      <x:c r="M355" s="14"/>
      <x:c r="N355" s="14"/>
    </x:row>
    <x:row r="356">
      <x:c r="A356" s="14"/>
      <x:c r="B356" s="14"/>
      <x:c r="C356" s="14"/>
      <x:c r="D356" s="14"/>
      <x:c r="E356" s="26"/>
      <x:c r="F356" s="26"/>
      <x:c r="G356" s="26"/>
      <x:c r="H356" s="26"/>
      <x:c r="I356" s="26"/>
      <x:c r="J356" s="14"/>
      <x:c r="K356" s="14"/>
      <x:c r="L356" s="14"/>
      <x:c r="M356" s="14"/>
      <x:c r="N356" s="14"/>
    </x:row>
    <x:row r="357">
      <x:c r="A357" s="14"/>
      <x:c r="B357" s="14"/>
      <x:c r="C357" s="14"/>
      <x:c r="D357" s="14"/>
      <x:c r="E357" s="26"/>
      <x:c r="F357" s="26"/>
      <x:c r="G357" s="26"/>
      <x:c r="H357" s="26"/>
      <x:c r="I357" s="26"/>
      <x:c r="J357" s="14"/>
      <x:c r="K357" s="14"/>
      <x:c r="L357" s="14"/>
      <x:c r="M357" s="14"/>
      <x:c r="N357" s="14"/>
    </x:row>
    <x:row r="358">
      <x:c r="A358" s="14"/>
      <x:c r="B358" s="14"/>
      <x:c r="C358" s="14"/>
      <x:c r="D358" s="14"/>
      <x:c r="E358" s="26"/>
      <x:c r="F358" s="26"/>
      <x:c r="G358" s="26"/>
      <x:c r="H358" s="26"/>
      <x:c r="I358" s="26"/>
      <x:c r="J358" s="14"/>
      <x:c r="K358" s="14"/>
      <x:c r="L358" s="14"/>
      <x:c r="M358" s="14"/>
      <x:c r="N358" s="14"/>
    </x:row>
    <x:row r="359">
      <x:c r="A359" s="14"/>
      <x:c r="B359" s="14"/>
      <x:c r="C359" s="14"/>
      <x:c r="D359" s="14"/>
      <x:c r="E359" s="26"/>
      <x:c r="F359" s="26"/>
      <x:c r="G359" s="26"/>
      <x:c r="H359" s="26"/>
      <x:c r="I359" s="26"/>
      <x:c r="J359" s="14"/>
      <x:c r="K359" s="14"/>
      <x:c r="L359" s="14"/>
      <x:c r="M359" s="14"/>
      <x:c r="N359" s="14"/>
    </x:row>
    <x:row r="360">
      <x:c r="A360" s="14"/>
      <x:c r="B360" s="14"/>
      <x:c r="C360" s="14"/>
      <x:c r="D360" s="14"/>
      <x:c r="E360" s="26"/>
      <x:c r="F360" s="26"/>
      <x:c r="G360" s="26"/>
      <x:c r="H360" s="26"/>
      <x:c r="I360" s="26"/>
      <x:c r="J360" s="14"/>
      <x:c r="K360" s="14"/>
      <x:c r="L360" s="14"/>
      <x:c r="M360" s="14"/>
      <x:c r="N360" s="14"/>
    </x:row>
    <x:row r="361">
      <x:c r="A361" s="14"/>
      <x:c r="B361" s="14"/>
      <x:c r="C361" s="14"/>
      <x:c r="D361" s="14"/>
      <x:c r="E361" s="26"/>
      <x:c r="F361" s="26"/>
      <x:c r="G361" s="26"/>
      <x:c r="H361" s="26"/>
      <x:c r="I361" s="26"/>
      <x:c r="J361" s="14"/>
      <x:c r="K361" s="14"/>
      <x:c r="L361" s="14"/>
      <x:c r="M361" s="14"/>
      <x:c r="N361" s="14"/>
    </x:row>
    <x:row r="362">
      <x:c r="A362" s="14"/>
      <x:c r="B362" s="14"/>
      <x:c r="C362" s="14"/>
      <x:c r="D362" s="14"/>
      <x:c r="E362" s="26"/>
      <x:c r="F362" s="26"/>
      <x:c r="G362" s="26"/>
      <x:c r="H362" s="26"/>
      <x:c r="I362" s="26"/>
      <x:c r="J362" s="14"/>
      <x:c r="K362" s="14"/>
      <x:c r="L362" s="14"/>
      <x:c r="M362" s="14"/>
      <x:c r="N362" s="14"/>
    </x:row>
    <x:row r="363">
      <x:c r="A363" s="14"/>
      <x:c r="B363" s="14"/>
      <x:c r="C363" s="14"/>
      <x:c r="D363" s="14"/>
      <x:c r="E363" s="26"/>
      <x:c r="F363" s="26"/>
      <x:c r="G363" s="26"/>
      <x:c r="H363" s="26"/>
      <x:c r="I363" s="26"/>
      <x:c r="J363" s="14"/>
      <x:c r="K363" s="14"/>
      <x:c r="L363" s="14"/>
      <x:c r="M363" s="14"/>
      <x:c r="N363" s="14"/>
    </x:row>
    <x:row r="364">
      <x:c r="A364" s="14"/>
      <x:c r="B364" s="14"/>
      <x:c r="C364" s="14"/>
      <x:c r="D364" s="14"/>
      <x:c r="E364" s="26"/>
      <x:c r="F364" s="26"/>
      <x:c r="G364" s="26"/>
      <x:c r="H364" s="26"/>
      <x:c r="I364" s="26"/>
      <x:c r="J364" s="14"/>
      <x:c r="K364" s="14"/>
      <x:c r="L364" s="14"/>
      <x:c r="M364" s="14"/>
      <x:c r="N364" s="14"/>
    </x:row>
    <x:row r="365">
      <x:c r="A365" s="14"/>
      <x:c r="B365" s="14"/>
      <x:c r="C365" s="14"/>
      <x:c r="D365" s="14"/>
      <x:c r="E365" s="26"/>
      <x:c r="F365" s="26"/>
      <x:c r="G365" s="26"/>
      <x:c r="H365" s="26"/>
      <x:c r="I365" s="26"/>
      <x:c r="J365" s="14"/>
      <x:c r="K365" s="14"/>
      <x:c r="L365" s="14"/>
      <x:c r="M365" s="14"/>
      <x:c r="N365" s="14"/>
    </x:row>
    <x:row r="366">
      <x:c r="A366" s="14"/>
      <x:c r="B366" s="14"/>
      <x:c r="C366" s="14"/>
      <x:c r="D366" s="14"/>
      <x:c r="E366" s="26"/>
      <x:c r="F366" s="26"/>
      <x:c r="G366" s="26"/>
      <x:c r="H366" s="26"/>
      <x:c r="I366" s="26"/>
      <x:c r="J366" s="14"/>
      <x:c r="K366" s="14"/>
      <x:c r="L366" s="14"/>
      <x:c r="M366" s="14"/>
      <x:c r="N366" s="14"/>
    </x:row>
    <x:row r="367">
      <x:c r="A367" s="14"/>
      <x:c r="B367" s="14"/>
      <x:c r="C367" s="14"/>
      <x:c r="D367" s="14"/>
      <x:c r="E367" s="26"/>
      <x:c r="F367" s="26"/>
      <x:c r="G367" s="26"/>
      <x:c r="H367" s="26"/>
      <x:c r="I367" s="26"/>
      <x:c r="J367" s="14"/>
      <x:c r="K367" s="14"/>
      <x:c r="L367" s="14"/>
      <x:c r="M367" s="14"/>
      <x:c r="N367" s="14"/>
    </x:row>
    <x:row r="368">
      <x:c r="A368" s="14"/>
      <x:c r="B368" s="14"/>
      <x:c r="C368" s="14"/>
      <x:c r="D368" s="14"/>
      <x:c r="E368" s="26"/>
      <x:c r="F368" s="26"/>
      <x:c r="G368" s="26"/>
      <x:c r="H368" s="26"/>
      <x:c r="I368" s="26"/>
      <x:c r="J368" s="14"/>
      <x:c r="K368" s="14"/>
      <x:c r="L368" s="14"/>
      <x:c r="M368" s="14"/>
      <x:c r="N368" s="14"/>
    </x:row>
    <x:row r="369">
      <x:c r="A369" s="14"/>
      <x:c r="B369" s="14"/>
      <x:c r="C369" s="14"/>
      <x:c r="D369" s="14"/>
      <x:c r="E369" s="26"/>
      <x:c r="F369" s="26"/>
      <x:c r="G369" s="26"/>
      <x:c r="H369" s="26"/>
      <x:c r="I369" s="26"/>
      <x:c r="J369" s="14"/>
      <x:c r="K369" s="14"/>
      <x:c r="L369" s="14"/>
      <x:c r="M369" s="14"/>
      <x:c r="N369" s="14"/>
    </x:row>
    <x:row r="370">
      <x:c r="A370" s="14"/>
      <x:c r="B370" s="14"/>
      <x:c r="C370" s="14"/>
      <x:c r="D370" s="14"/>
      <x:c r="E370" s="26"/>
      <x:c r="F370" s="26"/>
      <x:c r="G370" s="26"/>
      <x:c r="H370" s="26"/>
      <x:c r="I370" s="26"/>
      <x:c r="J370" s="14"/>
      <x:c r="K370" s="14"/>
      <x:c r="L370" s="14"/>
      <x:c r="M370" s="14"/>
      <x:c r="N370" s="14"/>
    </x:row>
    <x:row r="371">
      <x:c r="A371" s="14"/>
      <x:c r="B371" s="14"/>
      <x:c r="C371" s="14"/>
      <x:c r="D371" s="14"/>
      <x:c r="E371" s="26"/>
      <x:c r="F371" s="26"/>
      <x:c r="G371" s="26"/>
      <x:c r="H371" s="26"/>
      <x:c r="I371" s="26"/>
      <x:c r="J371" s="14"/>
      <x:c r="K371" s="14"/>
      <x:c r="L371" s="14"/>
      <x:c r="M371" s="14"/>
      <x:c r="N371" s="14"/>
    </x:row>
    <x:row r="372">
      <x:c r="A372" s="14"/>
      <x:c r="B372" s="14"/>
      <x:c r="C372" s="14"/>
      <x:c r="D372" s="14"/>
      <x:c r="E372" s="26"/>
      <x:c r="F372" s="26"/>
      <x:c r="G372" s="26"/>
      <x:c r="H372" s="26"/>
      <x:c r="I372" s="26"/>
      <x:c r="J372" s="14"/>
      <x:c r="K372" s="14"/>
      <x:c r="L372" s="14"/>
      <x:c r="M372" s="14"/>
      <x:c r="N372" s="14"/>
    </x:row>
    <x:row r="373">
      <x:c r="A373" s="14"/>
      <x:c r="B373" s="14"/>
      <x:c r="C373" s="14"/>
      <x:c r="D373" s="14"/>
      <x:c r="E373" s="26"/>
      <x:c r="F373" s="26"/>
      <x:c r="G373" s="26"/>
      <x:c r="H373" s="26"/>
      <x:c r="I373" s="26"/>
      <x:c r="J373" s="14"/>
      <x:c r="K373" s="14"/>
      <x:c r="L373" s="14"/>
      <x:c r="M373" s="14"/>
      <x:c r="N373" s="14"/>
    </x:row>
    <x:row r="374">
      <x:c r="A374" s="14"/>
      <x:c r="B374" s="14"/>
      <x:c r="C374" s="14"/>
      <x:c r="D374" s="14"/>
      <x:c r="E374" s="26"/>
      <x:c r="F374" s="26"/>
      <x:c r="G374" s="26"/>
      <x:c r="H374" s="26"/>
      <x:c r="I374" s="26"/>
      <x:c r="J374" s="14"/>
      <x:c r="K374" s="14"/>
      <x:c r="L374" s="14"/>
      <x:c r="M374" s="14"/>
      <x:c r="N374" s="14"/>
    </x:row>
    <x:row r="375">
      <x:c r="A375" s="14"/>
      <x:c r="B375" s="14"/>
      <x:c r="C375" s="14"/>
      <x:c r="D375" s="14"/>
      <x:c r="E375" s="26"/>
      <x:c r="F375" s="26"/>
      <x:c r="G375" s="26"/>
      <x:c r="H375" s="26"/>
      <x:c r="I375" s="26"/>
      <x:c r="J375" s="14"/>
      <x:c r="K375" s="14"/>
      <x:c r="L375" s="14"/>
      <x:c r="M375" s="14"/>
      <x:c r="N375" s="14"/>
    </x:row>
    <x:row r="376">
      <x:c r="A376" s="14"/>
      <x:c r="B376" s="14"/>
      <x:c r="C376" s="14"/>
      <x:c r="D376" s="14"/>
      <x:c r="E376" s="26"/>
      <x:c r="F376" s="26"/>
      <x:c r="G376" s="26"/>
      <x:c r="H376" s="26"/>
      <x:c r="I376" s="26"/>
      <x:c r="J376" s="14"/>
      <x:c r="K376" s="14"/>
      <x:c r="L376" s="14"/>
      <x:c r="M376" s="14"/>
      <x:c r="N376" s="14"/>
    </x:row>
    <x:row r="377">
      <x:c r="A377" s="14"/>
      <x:c r="B377" s="14"/>
      <x:c r="C377" s="14"/>
      <x:c r="D377" s="14"/>
      <x:c r="E377" s="26"/>
      <x:c r="F377" s="26"/>
      <x:c r="G377" s="26"/>
      <x:c r="H377" s="26"/>
      <x:c r="I377" s="26"/>
      <x:c r="J377" s="14"/>
      <x:c r="K377" s="14"/>
      <x:c r="L377" s="14"/>
      <x:c r="M377" s="14"/>
      <x:c r="N377" s="14"/>
    </x:row>
    <x:row r="378">
      <x:c r="A378" s="14"/>
      <x:c r="B378" s="14"/>
      <x:c r="C378" s="14"/>
      <x:c r="D378" s="14"/>
      <x:c r="E378" s="26"/>
      <x:c r="F378" s="26"/>
      <x:c r="G378" s="26"/>
      <x:c r="H378" s="26"/>
      <x:c r="I378" s="26"/>
      <x:c r="J378" s="14"/>
      <x:c r="K378" s="14"/>
      <x:c r="L378" s="14"/>
      <x:c r="M378" s="14"/>
      <x:c r="N378" s="14"/>
    </x:row>
    <x:row r="379">
      <x:c r="A379" s="14"/>
      <x:c r="B379" s="14"/>
      <x:c r="C379" s="14"/>
      <x:c r="D379" s="14"/>
      <x:c r="E379" s="26"/>
      <x:c r="F379" s="26"/>
      <x:c r="G379" s="26"/>
      <x:c r="H379" s="26"/>
      <x:c r="I379" s="26"/>
      <x:c r="J379" s="14"/>
      <x:c r="K379" s="14"/>
      <x:c r="L379" s="14"/>
      <x:c r="M379" s="14"/>
      <x:c r="N379" s="14"/>
    </x:row>
    <x:row r="380">
      <x:c r="A380" s="14"/>
      <x:c r="B380" s="14"/>
      <x:c r="C380" s="14"/>
      <x:c r="D380" s="14"/>
      <x:c r="E380" s="26"/>
      <x:c r="F380" s="26"/>
      <x:c r="G380" s="26"/>
      <x:c r="H380" s="26"/>
      <x:c r="I380" s="26"/>
      <x:c r="J380" s="14"/>
      <x:c r="K380" s="14"/>
      <x:c r="L380" s="14"/>
      <x:c r="M380" s="14"/>
      <x:c r="N380" s="14"/>
    </x:row>
    <x:row r="381">
      <x:c r="A381" s="14"/>
      <x:c r="B381" s="14"/>
      <x:c r="C381" s="14"/>
      <x:c r="D381" s="14"/>
      <x:c r="E381" s="26"/>
      <x:c r="F381" s="26"/>
      <x:c r="G381" s="26"/>
      <x:c r="H381" s="26"/>
      <x:c r="I381" s="26"/>
      <x:c r="J381" s="14"/>
      <x:c r="K381" s="14"/>
      <x:c r="L381" s="14"/>
      <x:c r="M381" s="14"/>
      <x:c r="N381" s="14"/>
    </x:row>
    <x:row r="382">
      <x:c r="A382" s="14"/>
      <x:c r="B382" s="14"/>
      <x:c r="C382" s="14"/>
      <x:c r="D382" s="14"/>
      <x:c r="E382" s="26"/>
      <x:c r="F382" s="26"/>
      <x:c r="G382" s="26"/>
      <x:c r="H382" s="26"/>
      <x:c r="I382" s="26"/>
      <x:c r="J382" s="14"/>
      <x:c r="K382" s="14"/>
      <x:c r="L382" s="14"/>
      <x:c r="M382" s="14"/>
      <x:c r="N382" s="14"/>
    </x:row>
    <x:row r="383">
      <x:c r="A383" s="14"/>
      <x:c r="B383" s="14"/>
      <x:c r="C383" s="14"/>
      <x:c r="D383" s="14"/>
      <x:c r="E383" s="26"/>
      <x:c r="F383" s="26"/>
      <x:c r="G383" s="26"/>
      <x:c r="H383" s="26"/>
      <x:c r="I383" s="26"/>
      <x:c r="J383" s="14"/>
      <x:c r="K383" s="14"/>
      <x:c r="L383" s="14"/>
      <x:c r="M383" s="14"/>
      <x:c r="N383" s="14"/>
    </x:row>
    <x:row r="384">
      <x:c r="A384" s="14"/>
      <x:c r="B384" s="14"/>
      <x:c r="C384" s="14"/>
      <x:c r="D384" s="14"/>
      <x:c r="E384" s="26"/>
      <x:c r="F384" s="26"/>
      <x:c r="G384" s="26"/>
      <x:c r="H384" s="26"/>
      <x:c r="I384" s="26"/>
      <x:c r="J384" s="14"/>
      <x:c r="K384" s="14"/>
      <x:c r="L384" s="14"/>
      <x:c r="M384" s="14"/>
      <x:c r="N384" s="14"/>
    </x:row>
    <x:row r="385">
      <x:c r="A385" s="14"/>
      <x:c r="B385" s="14"/>
      <x:c r="C385" s="14"/>
      <x:c r="D385" s="14"/>
      <x:c r="E385" s="26"/>
      <x:c r="F385" s="26"/>
      <x:c r="G385" s="26"/>
      <x:c r="H385" s="26"/>
      <x:c r="I385" s="26"/>
      <x:c r="J385" s="14"/>
      <x:c r="K385" s="14"/>
      <x:c r="L385" s="14"/>
      <x:c r="M385" s="14"/>
      <x:c r="N385" s="14"/>
    </x:row>
    <x:row r="386">
      <x:c r="A386" s="14"/>
      <x:c r="B386" s="14"/>
      <x:c r="C386" s="14"/>
      <x:c r="D386" s="14"/>
      <x:c r="E386" s="26"/>
      <x:c r="F386" s="26"/>
      <x:c r="G386" s="26"/>
      <x:c r="H386" s="26"/>
      <x:c r="I386" s="26"/>
      <x:c r="J386" s="14"/>
      <x:c r="K386" s="14"/>
      <x:c r="L386" s="14"/>
      <x:c r="M386" s="14"/>
      <x:c r="N386" s="14"/>
    </x:row>
    <x:row r="387">
      <x:c r="A387" s="14"/>
      <x:c r="B387" s="14"/>
      <x:c r="C387" s="14"/>
      <x:c r="D387" s="14"/>
      <x:c r="E387" s="26"/>
      <x:c r="F387" s="26"/>
      <x:c r="G387" s="26"/>
      <x:c r="H387" s="26"/>
      <x:c r="I387" s="26"/>
      <x:c r="J387" s="14"/>
      <x:c r="K387" s="14"/>
      <x:c r="L387" s="14"/>
      <x:c r="M387" s="14"/>
      <x:c r="N387" s="14"/>
    </x:row>
    <x:row r="388">
      <x:c r="A388" s="14"/>
      <x:c r="B388" s="14"/>
      <x:c r="C388" s="14"/>
      <x:c r="D388" s="14"/>
      <x:c r="E388" s="26"/>
      <x:c r="F388" s="26"/>
      <x:c r="G388" s="26"/>
      <x:c r="H388" s="26"/>
      <x:c r="I388" s="26"/>
      <x:c r="J388" s="14"/>
      <x:c r="K388" s="14"/>
      <x:c r="L388" s="14"/>
      <x:c r="M388" s="14"/>
      <x:c r="N388" s="14"/>
    </x:row>
    <x:row r="389">
      <x:c r="A389" s="14"/>
      <x:c r="B389" s="14"/>
      <x:c r="C389" s="14"/>
      <x:c r="D389" s="14"/>
      <x:c r="E389" s="26"/>
      <x:c r="F389" s="26"/>
      <x:c r="G389" s="26"/>
      <x:c r="H389" s="26"/>
      <x:c r="I389" s="26"/>
      <x:c r="J389" s="14"/>
      <x:c r="K389" s="14"/>
      <x:c r="L389" s="14"/>
      <x:c r="M389" s="14"/>
      <x:c r="N389" s="14"/>
    </x:row>
    <x:row r="390">
      <x:c r="A390" s="14"/>
      <x:c r="B390" s="14"/>
      <x:c r="C390" s="14"/>
      <x:c r="D390" s="14"/>
      <x:c r="E390" s="26"/>
      <x:c r="F390" s="26"/>
      <x:c r="G390" s="26"/>
      <x:c r="H390" s="26"/>
      <x:c r="I390" s="26"/>
      <x:c r="J390" s="14"/>
      <x:c r="K390" s="14"/>
      <x:c r="L390" s="14"/>
      <x:c r="M390" s="14"/>
      <x:c r="N390" s="14"/>
    </x:row>
    <x:row r="391">
      <x:c r="A391" s="14"/>
      <x:c r="B391" s="14"/>
      <x:c r="C391" s="14"/>
      <x:c r="D391" s="14"/>
      <x:c r="E391" s="26"/>
      <x:c r="F391" s="26"/>
      <x:c r="G391" s="26"/>
      <x:c r="H391" s="26"/>
      <x:c r="I391" s="26"/>
      <x:c r="J391" s="14"/>
      <x:c r="K391" s="14"/>
      <x:c r="L391" s="14"/>
      <x:c r="M391" s="14"/>
      <x:c r="N391" s="14"/>
    </x:row>
    <x:row r="392">
      <x:c r="A392" s="14"/>
      <x:c r="B392" s="14"/>
      <x:c r="C392" s="14"/>
      <x:c r="D392" s="14"/>
      <x:c r="E392" s="26"/>
      <x:c r="F392" s="26"/>
      <x:c r="G392" s="26"/>
      <x:c r="H392" s="26"/>
      <x:c r="I392" s="26"/>
      <x:c r="J392" s="14"/>
      <x:c r="K392" s="14"/>
      <x:c r="L392" s="14"/>
      <x:c r="M392" s="14"/>
      <x:c r="N392" s="14"/>
    </x:row>
    <x:row r="393">
      <x:c r="A393" s="14"/>
      <x:c r="B393" s="14"/>
      <x:c r="C393" s="14"/>
      <x:c r="D393" s="14"/>
      <x:c r="E393" s="26"/>
      <x:c r="F393" s="26"/>
      <x:c r="G393" s="26"/>
      <x:c r="H393" s="26"/>
      <x:c r="I393" s="26"/>
      <x:c r="J393" s="14"/>
      <x:c r="K393" s="14"/>
      <x:c r="L393" s="14"/>
      <x:c r="M393" s="14"/>
      <x:c r="N393" s="14"/>
    </x:row>
    <x:row r="394">
      <x:c r="A394" s="14"/>
      <x:c r="B394" s="14"/>
      <x:c r="C394" s="14"/>
      <x:c r="D394" s="14"/>
      <x:c r="E394" s="26"/>
      <x:c r="F394" s="26"/>
      <x:c r="G394" s="26"/>
      <x:c r="H394" s="26"/>
      <x:c r="I394" s="26"/>
      <x:c r="J394" s="14"/>
      <x:c r="K394" s="14"/>
      <x:c r="L394" s="14"/>
      <x:c r="M394" s="14"/>
      <x:c r="N394" s="14"/>
    </x:row>
    <x:row r="395">
      <x:c r="A395" s="14"/>
      <x:c r="B395" s="14"/>
      <x:c r="C395" s="14"/>
      <x:c r="D395" s="14"/>
      <x:c r="E395" s="26"/>
      <x:c r="F395" s="26"/>
      <x:c r="G395" s="26"/>
      <x:c r="H395" s="26"/>
      <x:c r="I395" s="26"/>
      <x:c r="J395" s="14"/>
      <x:c r="K395" s="14"/>
      <x:c r="L395" s="14"/>
      <x:c r="M395" s="14"/>
      <x:c r="N395" s="14"/>
    </x:row>
    <x:row r="396">
      <x:c r="A396" s="14"/>
      <x:c r="B396" s="14"/>
      <x:c r="C396" s="14"/>
      <x:c r="D396" s="14"/>
      <x:c r="E396" s="26"/>
      <x:c r="F396" s="26"/>
      <x:c r="G396" s="26"/>
      <x:c r="H396" s="26"/>
      <x:c r="I396" s="26"/>
      <x:c r="J396" s="14"/>
      <x:c r="K396" s="14"/>
      <x:c r="L396" s="14"/>
      <x:c r="M396" s="14"/>
      <x:c r="N396" s="14"/>
    </x:row>
    <x:row r="397">
      <x:c r="A397" s="14"/>
      <x:c r="B397" s="14"/>
      <x:c r="C397" s="14"/>
      <x:c r="D397" s="14"/>
      <x:c r="E397" s="26"/>
      <x:c r="F397" s="26"/>
      <x:c r="G397" s="26"/>
      <x:c r="H397" s="26"/>
      <x:c r="I397" s="26"/>
      <x:c r="J397" s="14"/>
      <x:c r="K397" s="14"/>
      <x:c r="L397" s="14"/>
      <x:c r="M397" s="14"/>
      <x:c r="N397" s="14"/>
    </x:row>
    <x:row r="398">
      <x:c r="A398" s="14"/>
      <x:c r="B398" s="14"/>
      <x:c r="C398" s="14"/>
      <x:c r="D398" s="14"/>
      <x:c r="E398" s="26"/>
      <x:c r="F398" s="26"/>
      <x:c r="G398" s="26"/>
      <x:c r="H398" s="26"/>
      <x:c r="I398" s="26"/>
      <x:c r="J398" s="14"/>
      <x:c r="K398" s="14"/>
      <x:c r="L398" s="14"/>
      <x:c r="M398" s="14"/>
      <x:c r="N398" s="14"/>
    </x:row>
    <x:row r="399">
      <x:c r="A399" s="14"/>
      <x:c r="B399" s="14"/>
      <x:c r="C399" s="14"/>
      <x:c r="D399" s="14"/>
      <x:c r="E399" s="26"/>
      <x:c r="F399" s="26"/>
      <x:c r="G399" s="26"/>
      <x:c r="H399" s="26"/>
      <x:c r="I399" s="26"/>
      <x:c r="J399" s="14"/>
      <x:c r="K399" s="14"/>
      <x:c r="L399" s="14"/>
      <x:c r="M399" s="14"/>
      <x:c r="N399" s="14"/>
    </x:row>
    <x:row r="400">
      <x:c r="A400" s="14"/>
      <x:c r="B400" s="14"/>
      <x:c r="C400" s="14"/>
      <x:c r="D400" s="14"/>
      <x:c r="E400" s="26"/>
      <x:c r="F400" s="26"/>
      <x:c r="G400" s="26"/>
      <x:c r="H400" s="26"/>
      <x:c r="I400" s="26"/>
      <x:c r="J400" s="14"/>
      <x:c r="K400" s="14"/>
      <x:c r="L400" s="14"/>
      <x:c r="M400" s="14"/>
      <x:c r="N400" s="14"/>
    </x:row>
    <x:row r="401">
      <x:c r="A401" s="14"/>
      <x:c r="B401" s="14"/>
      <x:c r="C401" s="14"/>
      <x:c r="D401" s="14"/>
      <x:c r="E401" s="26"/>
      <x:c r="F401" s="26"/>
      <x:c r="G401" s="26"/>
      <x:c r="H401" s="26"/>
      <x:c r="I401" s="26"/>
      <x:c r="J401" s="14"/>
      <x:c r="K401" s="14"/>
      <x:c r="L401" s="14"/>
      <x:c r="M401" s="14"/>
      <x:c r="N401" s="14"/>
    </x:row>
    <x:row r="402">
      <x:c r="A402" s="14"/>
      <x:c r="B402" s="14"/>
      <x:c r="C402" s="14"/>
      <x:c r="D402" s="14"/>
      <x:c r="E402" s="26"/>
      <x:c r="F402" s="26"/>
      <x:c r="G402" s="26"/>
      <x:c r="H402" s="26"/>
      <x:c r="I402" s="26"/>
      <x:c r="J402" s="14"/>
      <x:c r="K402" s="14"/>
      <x:c r="L402" s="14"/>
      <x:c r="M402" s="14"/>
      <x:c r="N402" s="14"/>
    </x:row>
    <x:row r="403">
      <x:c r="A403" s="14"/>
      <x:c r="B403" s="14"/>
      <x:c r="C403" s="14"/>
      <x:c r="D403" s="14"/>
      <x:c r="E403" s="26"/>
      <x:c r="F403" s="26"/>
      <x:c r="G403" s="26"/>
      <x:c r="H403" s="26"/>
      <x:c r="I403" s="26"/>
      <x:c r="J403" s="14"/>
      <x:c r="K403" s="14"/>
      <x:c r="L403" s="14"/>
      <x:c r="M403" s="14"/>
      <x:c r="N403" s="14"/>
    </x:row>
    <x:row r="404">
      <x:c r="A404" s="14"/>
      <x:c r="B404" s="14"/>
      <x:c r="C404" s="14"/>
      <x:c r="D404" s="14"/>
      <x:c r="E404" s="26"/>
      <x:c r="F404" s="26"/>
      <x:c r="G404" s="26"/>
      <x:c r="H404" s="26"/>
      <x:c r="I404" s="26"/>
      <x:c r="J404" s="14"/>
      <x:c r="K404" s="14"/>
      <x:c r="L404" s="14"/>
      <x:c r="M404" s="14"/>
      <x:c r="N404" s="14"/>
    </x:row>
    <x:row r="405">
      <x:c r="A405" s="14"/>
      <x:c r="B405" s="14"/>
      <x:c r="C405" s="14"/>
      <x:c r="D405" s="14"/>
      <x:c r="E405" s="26"/>
      <x:c r="F405" s="26"/>
      <x:c r="G405" s="26"/>
      <x:c r="H405" s="26"/>
      <x:c r="I405" s="26"/>
      <x:c r="J405" s="14"/>
      <x:c r="K405" s="14"/>
      <x:c r="L405" s="14"/>
      <x:c r="M405" s="14"/>
      <x:c r="N405" s="14"/>
    </x:row>
    <x:row r="406">
      <x:c r="A406" s="14"/>
      <x:c r="B406" s="14"/>
      <x:c r="C406" s="14"/>
      <x:c r="D406" s="14"/>
      <x:c r="E406" s="26"/>
      <x:c r="F406" s="26"/>
      <x:c r="G406" s="26"/>
      <x:c r="H406" s="26"/>
      <x:c r="I406" s="26"/>
      <x:c r="J406" s="14"/>
      <x:c r="K406" s="14"/>
      <x:c r="L406" s="14"/>
      <x:c r="M406" s="14"/>
      <x:c r="N406" s="14"/>
    </x:row>
    <x:row r="407">
      <x:c r="A407" s="14"/>
      <x:c r="B407" s="14"/>
      <x:c r="C407" s="14"/>
      <x:c r="D407" s="14"/>
      <x:c r="E407" s="26"/>
      <x:c r="F407" s="26"/>
      <x:c r="G407" s="26"/>
      <x:c r="H407" s="26"/>
      <x:c r="I407" s="26"/>
      <x:c r="J407" s="14"/>
      <x:c r="K407" s="14"/>
      <x:c r="L407" s="14"/>
      <x:c r="M407" s="14"/>
      <x:c r="N407" s="14"/>
    </x:row>
    <x:row r="408">
      <x:c r="A408" s="14"/>
      <x:c r="B408" s="14"/>
      <x:c r="C408" s="14"/>
      <x:c r="D408" s="14"/>
      <x:c r="E408" s="26"/>
      <x:c r="F408" s="26"/>
      <x:c r="G408" s="26"/>
      <x:c r="H408" s="26"/>
      <x:c r="I408" s="26"/>
      <x:c r="J408" s="14"/>
      <x:c r="K408" s="14"/>
      <x:c r="L408" s="14"/>
      <x:c r="M408" s="14"/>
      <x:c r="N408" s="14"/>
    </x:row>
    <x:row r="409">
      <x:c r="A409" s="14"/>
      <x:c r="B409" s="14"/>
      <x:c r="C409" s="14"/>
      <x:c r="D409" s="14"/>
      <x:c r="E409" s="26"/>
      <x:c r="F409" s="26"/>
      <x:c r="G409" s="26"/>
      <x:c r="H409" s="26"/>
      <x:c r="I409" s="26"/>
      <x:c r="J409" s="14"/>
      <x:c r="K409" s="14"/>
      <x:c r="L409" s="14"/>
      <x:c r="M409" s="14"/>
      <x:c r="N409" s="14"/>
    </x:row>
    <x:row r="410">
      <x:c r="A410" s="14"/>
      <x:c r="B410" s="14"/>
      <x:c r="C410" s="14"/>
      <x:c r="D410" s="14"/>
      <x:c r="E410" s="26"/>
      <x:c r="F410" s="26"/>
      <x:c r="G410" s="26"/>
      <x:c r="H410" s="26"/>
      <x:c r="I410" s="26"/>
      <x:c r="J410" s="14"/>
      <x:c r="K410" s="14"/>
      <x:c r="L410" s="14"/>
      <x:c r="M410" s="14"/>
      <x:c r="N410" s="14"/>
    </x:row>
    <x:row r="411">
      <x:c r="A411" s="14"/>
      <x:c r="B411" s="14"/>
      <x:c r="C411" s="14"/>
      <x:c r="D411" s="14"/>
      <x:c r="E411" s="26"/>
      <x:c r="F411" s="26"/>
      <x:c r="G411" s="26"/>
      <x:c r="H411" s="26"/>
      <x:c r="I411" s="26"/>
      <x:c r="J411" s="14"/>
      <x:c r="K411" s="14"/>
      <x:c r="L411" s="14"/>
      <x:c r="M411" s="14"/>
      <x:c r="N411" s="14"/>
    </x:row>
    <x:row r="412">
      <x:c r="A412" s="14"/>
      <x:c r="B412" s="14"/>
      <x:c r="C412" s="14"/>
      <x:c r="D412" s="14"/>
      <x:c r="E412" s="26"/>
      <x:c r="F412" s="26"/>
      <x:c r="G412" s="26"/>
      <x:c r="H412" s="26"/>
      <x:c r="I412" s="26"/>
      <x:c r="J412" s="14"/>
      <x:c r="K412" s="14"/>
      <x:c r="L412" s="14"/>
      <x:c r="M412" s="14"/>
      <x:c r="N412" s="14"/>
    </x:row>
    <x:row r="413">
      <x:c r="A413" s="14"/>
      <x:c r="B413" s="14"/>
      <x:c r="C413" s="14"/>
      <x:c r="D413" s="14"/>
      <x:c r="E413" s="26"/>
      <x:c r="F413" s="26"/>
      <x:c r="G413" s="26"/>
      <x:c r="H413" s="26"/>
      <x:c r="I413" s="26"/>
      <x:c r="J413" s="14"/>
      <x:c r="K413" s="14"/>
      <x:c r="L413" s="14"/>
      <x:c r="M413" s="14"/>
      <x:c r="N413" s="14"/>
    </x:row>
    <x:row r="414">
      <x:c r="A414" s="14"/>
      <x:c r="B414" s="14"/>
      <x:c r="C414" s="14"/>
      <x:c r="D414" s="14"/>
      <x:c r="E414" s="26"/>
      <x:c r="F414" s="26"/>
      <x:c r="G414" s="26"/>
      <x:c r="H414" s="26"/>
      <x:c r="I414" s="26"/>
      <x:c r="J414" s="14"/>
      <x:c r="K414" s="14"/>
      <x:c r="L414" s="14"/>
      <x:c r="M414" s="14"/>
      <x:c r="N414" s="14"/>
    </x:row>
    <x:row r="415">
      <x:c r="A415" s="14"/>
      <x:c r="B415" s="14"/>
      <x:c r="C415" s="14"/>
      <x:c r="D415" s="14"/>
      <x:c r="E415" s="26"/>
      <x:c r="F415" s="26"/>
      <x:c r="G415" s="26"/>
      <x:c r="H415" s="26"/>
      <x:c r="I415" s="26"/>
      <x:c r="J415" s="14"/>
      <x:c r="K415" s="14"/>
      <x:c r="L415" s="14"/>
      <x:c r="M415" s="14"/>
      <x:c r="N415" s="14"/>
    </x:row>
    <x:row r="416">
      <x:c r="A416" s="14"/>
      <x:c r="B416" s="14"/>
      <x:c r="C416" s="14"/>
      <x:c r="D416" s="14"/>
      <x:c r="E416" s="26"/>
      <x:c r="F416" s="26"/>
      <x:c r="G416" s="26"/>
      <x:c r="H416" s="26"/>
      <x:c r="I416" s="26"/>
      <x:c r="J416" s="14"/>
      <x:c r="K416" s="14"/>
      <x:c r="L416" s="14"/>
      <x:c r="M416" s="14"/>
      <x:c r="N416" s="14"/>
    </x:row>
    <x:row r="417">
      <x:c r="A417" s="14"/>
      <x:c r="B417" s="14"/>
      <x:c r="C417" s="14"/>
      <x:c r="D417" s="14"/>
      <x:c r="E417" s="26"/>
      <x:c r="F417" s="26"/>
      <x:c r="G417" s="26"/>
      <x:c r="H417" s="26"/>
      <x:c r="I417" s="26"/>
      <x:c r="J417" s="14"/>
      <x:c r="K417" s="14"/>
      <x:c r="L417" s="14"/>
      <x:c r="M417" s="14"/>
      <x:c r="N417" s="14"/>
    </x:row>
    <x:row r="418">
      <x:c r="A418" s="14"/>
      <x:c r="B418" s="14"/>
      <x:c r="C418" s="14"/>
      <x:c r="D418" s="14"/>
      <x:c r="E418" s="26"/>
      <x:c r="F418" s="26"/>
      <x:c r="G418" s="26"/>
      <x:c r="H418" s="26"/>
      <x:c r="I418" s="26"/>
      <x:c r="J418" s="14"/>
      <x:c r="K418" s="14"/>
      <x:c r="L418" s="14"/>
      <x:c r="M418" s="14"/>
      <x:c r="N418" s="14"/>
    </x:row>
    <x:row r="419">
      <x:c r="A419" s="14"/>
      <x:c r="B419" s="14"/>
      <x:c r="C419" s="14"/>
      <x:c r="D419" s="14"/>
      <x:c r="E419" s="26"/>
      <x:c r="F419" s="26"/>
      <x:c r="G419" s="26"/>
      <x:c r="H419" s="26"/>
      <x:c r="I419" s="26"/>
      <x:c r="J419" s="14"/>
      <x:c r="K419" s="14"/>
      <x:c r="L419" s="14"/>
      <x:c r="M419" s="14"/>
      <x:c r="N419" s="14"/>
    </x:row>
    <x:row r="420">
      <x:c r="A420" s="14"/>
      <x:c r="B420" s="14"/>
      <x:c r="C420" s="14"/>
      <x:c r="D420" s="14"/>
      <x:c r="E420" s="26"/>
      <x:c r="F420" s="26"/>
      <x:c r="G420" s="26"/>
      <x:c r="H420" s="26"/>
      <x:c r="I420" s="26"/>
      <x:c r="J420" s="14"/>
      <x:c r="K420" s="14"/>
      <x:c r="L420" s="14"/>
      <x:c r="M420" s="14"/>
      <x:c r="N420" s="14"/>
    </x:row>
    <x:row r="421">
      <x:c r="A421" s="14"/>
      <x:c r="B421" s="14"/>
      <x:c r="C421" s="14"/>
      <x:c r="D421" s="14"/>
      <x:c r="E421" s="26"/>
      <x:c r="F421" s="26"/>
      <x:c r="G421" s="26"/>
      <x:c r="H421" s="26"/>
      <x:c r="I421" s="26"/>
      <x:c r="J421" s="14"/>
      <x:c r="K421" s="14"/>
      <x:c r="L421" s="14"/>
      <x:c r="M421" s="14"/>
      <x:c r="N421" s="14"/>
    </x:row>
    <x:row r="422">
      <x:c r="A422" s="14"/>
      <x:c r="B422" s="14"/>
      <x:c r="C422" s="14"/>
      <x:c r="D422" s="14"/>
      <x:c r="E422" s="26"/>
      <x:c r="F422" s="26"/>
      <x:c r="G422" s="26"/>
      <x:c r="H422" s="26"/>
      <x:c r="I422" s="26"/>
      <x:c r="J422" s="14"/>
      <x:c r="K422" s="14"/>
      <x:c r="L422" s="14"/>
      <x:c r="M422" s="14"/>
      <x:c r="N422" s="14"/>
    </x:row>
    <x:row r="423">
      <x:c r="A423" s="14"/>
      <x:c r="B423" s="14"/>
      <x:c r="C423" s="14"/>
      <x:c r="D423" s="14"/>
      <x:c r="E423" s="26"/>
      <x:c r="F423" s="26"/>
      <x:c r="G423" s="26"/>
      <x:c r="H423" s="26"/>
      <x:c r="I423" s="26"/>
      <x:c r="J423" s="14"/>
      <x:c r="K423" s="14"/>
      <x:c r="L423" s="14"/>
      <x:c r="M423" s="14"/>
      <x:c r="N423" s="14"/>
    </x:row>
    <x:row r="424">
      <x:c r="A424" s="14"/>
      <x:c r="B424" s="14"/>
      <x:c r="C424" s="14"/>
      <x:c r="D424" s="14"/>
      <x:c r="E424" s="26"/>
      <x:c r="F424" s="26"/>
      <x:c r="G424" s="26"/>
      <x:c r="H424" s="26"/>
      <x:c r="I424" s="26"/>
      <x:c r="J424" s="14"/>
      <x:c r="K424" s="14"/>
      <x:c r="L424" s="14"/>
      <x:c r="M424" s="14"/>
      <x:c r="N424" s="14"/>
    </x:row>
    <x:row r="425">
      <x:c r="A425" s="14"/>
      <x:c r="B425" s="14"/>
      <x:c r="C425" s="14"/>
      <x:c r="D425" s="14"/>
      <x:c r="E425" s="26"/>
      <x:c r="F425" s="26"/>
      <x:c r="G425" s="26"/>
      <x:c r="H425" s="26"/>
      <x:c r="I425" s="26"/>
      <x:c r="J425" s="14"/>
      <x:c r="K425" s="14"/>
      <x:c r="L425" s="14"/>
      <x:c r="M425" s="14"/>
      <x:c r="N425" s="14"/>
    </x:row>
    <x:row r="426">
      <x:c r="A426" s="14"/>
      <x:c r="B426" s="14"/>
      <x:c r="C426" s="14"/>
      <x:c r="D426" s="14"/>
      <x:c r="E426" s="26"/>
      <x:c r="F426" s="26"/>
      <x:c r="G426" s="26"/>
      <x:c r="H426" s="26"/>
      <x:c r="I426" s="26"/>
      <x:c r="J426" s="14"/>
      <x:c r="K426" s="14"/>
      <x:c r="L426" s="14"/>
      <x:c r="M426" s="14"/>
      <x:c r="N426" s="14"/>
    </x:row>
    <x:row r="427">
      <x:c r="A427" s="14"/>
      <x:c r="B427" s="14"/>
      <x:c r="C427" s="14"/>
      <x:c r="D427" s="14"/>
      <x:c r="E427" s="26"/>
      <x:c r="F427" s="26"/>
      <x:c r="G427" s="26"/>
      <x:c r="H427" s="26"/>
      <x:c r="I427" s="26"/>
      <x:c r="J427" s="14"/>
      <x:c r="K427" s="14"/>
      <x:c r="L427" s="14"/>
      <x:c r="M427" s="14"/>
      <x:c r="N427" s="14"/>
    </x:row>
    <x:row r="428">
      <x:c r="A428" s="14"/>
      <x:c r="B428" s="14"/>
      <x:c r="C428" s="14"/>
      <x:c r="D428" s="14"/>
      <x:c r="E428" s="26"/>
      <x:c r="F428" s="26"/>
      <x:c r="G428" s="26"/>
      <x:c r="H428" s="26"/>
      <x:c r="I428" s="26"/>
      <x:c r="J428" s="14"/>
      <x:c r="K428" s="14"/>
      <x:c r="L428" s="14"/>
      <x:c r="M428" s="14"/>
      <x:c r="N428" s="14"/>
    </x:row>
    <x:row r="429">
      <x:c r="A429" s="14"/>
      <x:c r="B429" s="14"/>
      <x:c r="C429" s="14"/>
      <x:c r="D429" s="14"/>
      <x:c r="E429" s="26"/>
      <x:c r="F429" s="26"/>
      <x:c r="G429" s="26"/>
      <x:c r="H429" s="26"/>
      <x:c r="I429" s="26"/>
      <x:c r="J429" s="14"/>
      <x:c r="K429" s="14"/>
      <x:c r="L429" s="14"/>
      <x:c r="M429" s="14"/>
      <x:c r="N429" s="14"/>
    </x:row>
    <x:row r="430">
      <x:c r="A430" s="14"/>
      <x:c r="B430" s="14"/>
      <x:c r="C430" s="14"/>
      <x:c r="D430" s="14"/>
      <x:c r="E430" s="26"/>
      <x:c r="F430" s="26"/>
      <x:c r="G430" s="26"/>
      <x:c r="H430" s="26"/>
      <x:c r="I430" s="26"/>
      <x:c r="J430" s="14"/>
      <x:c r="K430" s="14"/>
      <x:c r="L430" s="14"/>
      <x:c r="M430" s="14"/>
      <x:c r="N430" s="14"/>
    </x:row>
    <x:row r="431">
      <x:c r="A431" s="14"/>
      <x:c r="B431" s="14"/>
      <x:c r="C431" s="14"/>
      <x:c r="D431" s="14"/>
      <x:c r="E431" s="26"/>
      <x:c r="F431" s="26"/>
      <x:c r="G431" s="26"/>
      <x:c r="H431" s="26"/>
      <x:c r="I431" s="26"/>
      <x:c r="J431" s="14"/>
      <x:c r="K431" s="14"/>
      <x:c r="L431" s="14"/>
      <x:c r="M431" s="14"/>
      <x:c r="N431" s="14"/>
    </x:row>
    <x:row r="432">
      <x:c r="A432" s="14"/>
      <x:c r="B432" s="14"/>
      <x:c r="C432" s="14"/>
      <x:c r="D432" s="14"/>
      <x:c r="E432" s="26"/>
      <x:c r="F432" s="26"/>
      <x:c r="G432" s="26"/>
      <x:c r="H432" s="26"/>
      <x:c r="I432" s="26"/>
      <x:c r="J432" s="14"/>
      <x:c r="K432" s="14"/>
      <x:c r="L432" s="14"/>
      <x:c r="M432" s="14"/>
      <x:c r="N432" s="14"/>
    </x:row>
    <x:row r="433">
      <x:c r="A433" s="14"/>
      <x:c r="B433" s="14"/>
      <x:c r="C433" s="14"/>
      <x:c r="D433" s="14"/>
      <x:c r="E433" s="26"/>
      <x:c r="F433" s="26"/>
      <x:c r="G433" s="26"/>
      <x:c r="H433" s="26"/>
      <x:c r="I433" s="26"/>
      <x:c r="J433" s="14"/>
      <x:c r="K433" s="14"/>
      <x:c r="L433" s="14"/>
      <x:c r="M433" s="14"/>
      <x:c r="N433" s="14"/>
    </x:row>
    <x:row r="434">
      <x:c r="A434" s="14"/>
      <x:c r="B434" s="14"/>
      <x:c r="C434" s="14"/>
      <x:c r="D434" s="14"/>
      <x:c r="E434" s="26"/>
      <x:c r="F434" s="26"/>
      <x:c r="G434" s="26"/>
      <x:c r="H434" s="26"/>
      <x:c r="I434" s="26"/>
      <x:c r="J434" s="14"/>
      <x:c r="K434" s="14"/>
      <x:c r="L434" s="14"/>
      <x:c r="M434" s="14"/>
      <x:c r="N434" s="14"/>
    </x:row>
    <x:row r="435">
      <x:c r="A435" s="14"/>
      <x:c r="B435" s="14"/>
      <x:c r="C435" s="14"/>
      <x:c r="D435" s="14"/>
      <x:c r="E435" s="26"/>
      <x:c r="F435" s="26"/>
      <x:c r="G435" s="26"/>
      <x:c r="H435" s="26"/>
      <x:c r="I435" s="26"/>
      <x:c r="J435" s="14"/>
      <x:c r="K435" s="14"/>
      <x:c r="L435" s="14"/>
      <x:c r="M435" s="14"/>
      <x:c r="N435" s="14"/>
    </x:row>
    <x:row r="436">
      <x:c r="A436" s="14"/>
      <x:c r="B436" s="14"/>
      <x:c r="C436" s="14"/>
      <x:c r="D436" s="14"/>
      <x:c r="E436" s="26"/>
      <x:c r="F436" s="26"/>
      <x:c r="G436" s="26"/>
      <x:c r="H436" s="26"/>
      <x:c r="I436" s="26"/>
      <x:c r="J436" s="14"/>
      <x:c r="K436" s="14"/>
      <x:c r="L436" s="14"/>
      <x:c r="M436" s="14"/>
      <x:c r="N436" s="14"/>
    </x:row>
    <x:row r="437">
      <x:c r="A437" s="14"/>
      <x:c r="B437" s="14"/>
      <x:c r="C437" s="14"/>
      <x:c r="D437" s="14"/>
      <x:c r="E437" s="26"/>
      <x:c r="F437" s="26"/>
      <x:c r="G437" s="26"/>
      <x:c r="H437" s="26"/>
      <x:c r="I437" s="26"/>
      <x:c r="J437" s="14"/>
      <x:c r="K437" s="14"/>
      <x:c r="L437" s="14"/>
      <x:c r="M437" s="14"/>
      <x:c r="N437" s="14"/>
    </x:row>
    <x:row r="438">
      <x:c r="A438" s="14"/>
      <x:c r="B438" s="14"/>
      <x:c r="C438" s="14"/>
      <x:c r="D438" s="14"/>
      <x:c r="E438" s="26"/>
      <x:c r="F438" s="26"/>
      <x:c r="G438" s="26"/>
      <x:c r="H438" s="26"/>
      <x:c r="I438" s="26"/>
      <x:c r="J438" s="14"/>
      <x:c r="K438" s="14"/>
      <x:c r="L438" s="14"/>
      <x:c r="M438" s="14"/>
      <x:c r="N438" s="14"/>
    </x:row>
    <x:row r="439">
      <x:c r="A439" s="14"/>
      <x:c r="B439" s="14"/>
      <x:c r="C439" s="14"/>
      <x:c r="D439" s="14"/>
      <x:c r="E439" s="26"/>
      <x:c r="F439" s="26"/>
      <x:c r="G439" s="26"/>
      <x:c r="H439" s="26"/>
      <x:c r="I439" s="26"/>
      <x:c r="J439" s="14"/>
      <x:c r="K439" s="14"/>
      <x:c r="L439" s="14"/>
      <x:c r="M439" s="14"/>
      <x:c r="N439" s="14"/>
    </x:row>
    <x:row r="440">
      <x:c r="A440" s="14"/>
      <x:c r="B440" s="14"/>
      <x:c r="C440" s="14"/>
      <x:c r="D440" s="14"/>
      <x:c r="E440" s="26"/>
      <x:c r="F440" s="26"/>
      <x:c r="G440" s="26"/>
      <x:c r="H440" s="26"/>
      <x:c r="I440" s="26"/>
      <x:c r="J440" s="14"/>
      <x:c r="K440" s="14"/>
      <x:c r="L440" s="14"/>
      <x:c r="M440" s="14"/>
      <x:c r="N440" s="14"/>
    </x:row>
    <x:row r="441">
      <x:c r="A441" s="14"/>
      <x:c r="B441" s="14"/>
      <x:c r="C441" s="14"/>
      <x:c r="D441" s="14"/>
      <x:c r="E441" s="26"/>
      <x:c r="F441" s="26"/>
      <x:c r="G441" s="26"/>
      <x:c r="H441" s="26"/>
      <x:c r="I441" s="26"/>
      <x:c r="J441" s="14"/>
      <x:c r="K441" s="14"/>
      <x:c r="L441" s="14"/>
      <x:c r="M441" s="14"/>
      <x:c r="N441" s="14"/>
    </x:row>
    <x:row r="442">
      <x:c r="A442" s="14"/>
      <x:c r="B442" s="14"/>
      <x:c r="C442" s="14"/>
      <x:c r="D442" s="14"/>
      <x:c r="E442" s="26"/>
      <x:c r="F442" s="26"/>
      <x:c r="G442" s="26"/>
      <x:c r="H442" s="26"/>
      <x:c r="I442" s="26"/>
      <x:c r="J442" s="14"/>
      <x:c r="K442" s="14"/>
      <x:c r="L442" s="14"/>
      <x:c r="M442" s="14"/>
      <x:c r="N442" s="14"/>
    </x:row>
    <x:row r="443">
      <x:c r="A443" s="14"/>
      <x:c r="B443" s="14"/>
      <x:c r="C443" s="14"/>
      <x:c r="D443" s="14"/>
      <x:c r="E443" s="26"/>
      <x:c r="F443" s="26"/>
      <x:c r="G443" s="26"/>
      <x:c r="H443" s="26"/>
      <x:c r="I443" s="26"/>
      <x:c r="J443" s="14"/>
      <x:c r="K443" s="14"/>
      <x:c r="L443" s="14"/>
      <x:c r="M443" s="14"/>
      <x:c r="N443" s="14"/>
    </x:row>
    <x:row r="444">
      <x:c r="A444" s="14"/>
      <x:c r="B444" s="14"/>
      <x:c r="C444" s="14"/>
      <x:c r="D444" s="14"/>
      <x:c r="E444" s="26"/>
      <x:c r="F444" s="26"/>
      <x:c r="G444" s="26"/>
      <x:c r="H444" s="26"/>
      <x:c r="I444" s="26"/>
      <x:c r="J444" s="14"/>
      <x:c r="K444" s="14"/>
      <x:c r="L444" s="14"/>
      <x:c r="M444" s="14"/>
      <x:c r="N444" s="14"/>
    </x:row>
    <x:row r="445">
      <x:c r="A445" s="14"/>
      <x:c r="B445" s="14"/>
      <x:c r="C445" s="14"/>
      <x:c r="D445" s="14"/>
      <x:c r="E445" s="26"/>
      <x:c r="F445" s="26"/>
      <x:c r="G445" s="26"/>
      <x:c r="H445" s="26"/>
      <x:c r="I445" s="26"/>
      <x:c r="J445" s="14"/>
      <x:c r="K445" s="14"/>
      <x:c r="L445" s="14"/>
      <x:c r="M445" s="14"/>
      <x:c r="N445" s="14"/>
    </x:row>
    <x:row r="446">
      <x:c r="A446" s="14"/>
      <x:c r="B446" s="14"/>
      <x:c r="C446" s="14"/>
      <x:c r="D446" s="14"/>
      <x:c r="E446" s="26"/>
      <x:c r="F446" s="26"/>
      <x:c r="G446" s="26"/>
      <x:c r="H446" s="26"/>
      <x:c r="I446" s="26"/>
      <x:c r="J446" s="14"/>
      <x:c r="K446" s="14"/>
      <x:c r="L446" s="14"/>
      <x:c r="M446" s="14"/>
      <x:c r="N446" s="14"/>
    </x:row>
    <x:row r="447">
      <x:c r="A447" s="14"/>
      <x:c r="B447" s="14"/>
      <x:c r="C447" s="14"/>
      <x:c r="D447" s="14"/>
      <x:c r="E447" s="26"/>
      <x:c r="F447" s="26"/>
      <x:c r="G447" s="26"/>
      <x:c r="H447" s="26"/>
      <x:c r="I447" s="26"/>
      <x:c r="J447" s="14"/>
      <x:c r="K447" s="14"/>
      <x:c r="L447" s="14"/>
      <x:c r="M447" s="14"/>
      <x:c r="N447" s="14"/>
    </x:row>
    <x:row r="448">
      <x:c r="A448" s="14"/>
      <x:c r="B448" s="14"/>
      <x:c r="C448" s="14"/>
      <x:c r="D448" s="14"/>
      <x:c r="E448" s="26"/>
      <x:c r="F448" s="26"/>
      <x:c r="G448" s="26"/>
      <x:c r="H448" s="26"/>
      <x:c r="I448" s="26"/>
      <x:c r="J448" s="14"/>
      <x:c r="K448" s="14"/>
      <x:c r="L448" s="14"/>
      <x:c r="M448" s="14"/>
      <x:c r="N448" s="14"/>
    </x:row>
    <x:row r="449">
      <x:c r="A449" s="14"/>
      <x:c r="B449" s="14"/>
      <x:c r="C449" s="14"/>
      <x:c r="D449" s="14"/>
      <x:c r="E449" s="26"/>
      <x:c r="F449" s="26"/>
      <x:c r="G449" s="26"/>
      <x:c r="H449" s="26"/>
      <x:c r="I449" s="26"/>
      <x:c r="J449" s="14"/>
      <x:c r="K449" s="14"/>
      <x:c r="L449" s="14"/>
      <x:c r="M449" s="14"/>
      <x:c r="N449" s="14"/>
    </x:row>
    <x:row r="450">
      <x:c r="A450" s="14"/>
      <x:c r="B450" s="14"/>
      <x:c r="C450" s="14"/>
      <x:c r="D450" s="14"/>
      <x:c r="E450" s="26"/>
      <x:c r="F450" s="26"/>
      <x:c r="G450" s="26"/>
      <x:c r="H450" s="26"/>
      <x:c r="I450" s="26"/>
      <x:c r="J450" s="14"/>
      <x:c r="K450" s="14"/>
      <x:c r="L450" s="14"/>
      <x:c r="M450" s="14"/>
      <x:c r="N450" s="14"/>
    </x:row>
    <x:row r="451">
      <x:c r="A451" s="14"/>
      <x:c r="B451" s="14"/>
      <x:c r="C451" s="14"/>
      <x:c r="D451" s="14"/>
      <x:c r="E451" s="26"/>
      <x:c r="F451" s="26"/>
      <x:c r="G451" s="26"/>
      <x:c r="H451" s="26"/>
      <x:c r="I451" s="26"/>
      <x:c r="J451" s="14"/>
      <x:c r="K451" s="14"/>
      <x:c r="L451" s="14"/>
      <x:c r="M451" s="14"/>
      <x:c r="N451" s="14"/>
    </x:row>
    <x:row r="452">
      <x:c r="A452" s="14"/>
      <x:c r="B452" s="14"/>
      <x:c r="C452" s="14"/>
      <x:c r="D452" s="14"/>
      <x:c r="E452" s="26"/>
      <x:c r="F452" s="26"/>
      <x:c r="G452" s="26"/>
      <x:c r="H452" s="26"/>
      <x:c r="I452" s="26"/>
      <x:c r="J452" s="14"/>
      <x:c r="K452" s="14"/>
      <x:c r="L452" s="14"/>
      <x:c r="M452" s="14"/>
      <x:c r="N452" s="14"/>
    </x:row>
    <x:row r="453">
      <x:c r="A453" s="14"/>
      <x:c r="B453" s="14"/>
      <x:c r="C453" s="14"/>
      <x:c r="D453" s="14"/>
      <x:c r="E453" s="26"/>
      <x:c r="F453" s="26"/>
      <x:c r="G453" s="26"/>
      <x:c r="H453" s="26"/>
      <x:c r="I453" s="26"/>
      <x:c r="J453" s="14"/>
      <x:c r="K453" s="14"/>
      <x:c r="L453" s="14"/>
      <x:c r="M453" s="14"/>
      <x:c r="N453" s="14"/>
    </x:row>
    <x:row r="454">
      <x:c r="A454" s="14"/>
      <x:c r="B454" s="14"/>
      <x:c r="C454" s="14"/>
      <x:c r="D454" s="14"/>
      <x:c r="E454" s="26"/>
      <x:c r="F454" s="26"/>
      <x:c r="G454" s="26"/>
      <x:c r="H454" s="26"/>
      <x:c r="I454" s="26"/>
      <x:c r="J454" s="14"/>
      <x:c r="K454" s="14"/>
      <x:c r="L454" s="14"/>
      <x:c r="M454" s="14"/>
      <x:c r="N454" s="14"/>
    </x:row>
    <x:row r="455">
      <x:c r="A455" s="14"/>
      <x:c r="B455" s="14"/>
      <x:c r="C455" s="14"/>
      <x:c r="D455" s="14"/>
      <x:c r="E455" s="26"/>
      <x:c r="F455" s="26"/>
      <x:c r="G455" s="26"/>
      <x:c r="H455" s="26"/>
      <x:c r="I455" s="26"/>
      <x:c r="J455" s="14"/>
      <x:c r="K455" s="14"/>
      <x:c r="L455" s="14"/>
      <x:c r="M455" s="14"/>
      <x:c r="N455" s="14"/>
    </x:row>
    <x:row r="456">
      <x:c r="A456" s="14"/>
      <x:c r="B456" s="14"/>
      <x:c r="C456" s="14"/>
      <x:c r="D456" s="14"/>
      <x:c r="E456" s="26"/>
      <x:c r="F456" s="26"/>
      <x:c r="G456" s="26"/>
      <x:c r="H456" s="26"/>
      <x:c r="I456" s="26"/>
      <x:c r="J456" s="14"/>
      <x:c r="K456" s="14"/>
      <x:c r="L456" s="14"/>
      <x:c r="M456" s="14"/>
      <x:c r="N456" s="14"/>
    </x:row>
    <x:row r="457">
      <x:c r="A457" s="14"/>
      <x:c r="B457" s="14"/>
      <x:c r="C457" s="14"/>
      <x:c r="D457" s="14"/>
      <x:c r="E457" s="26"/>
      <x:c r="F457" s="26"/>
      <x:c r="G457" s="26"/>
      <x:c r="H457" s="26"/>
      <x:c r="I457" s="26"/>
      <x:c r="J457" s="14"/>
      <x:c r="K457" s="14"/>
      <x:c r="L457" s="14"/>
      <x:c r="M457" s="14"/>
      <x:c r="N457" s="14"/>
    </x:row>
    <x:row r="458">
      <x:c r="A458" s="14"/>
      <x:c r="B458" s="14"/>
      <x:c r="C458" s="14"/>
      <x:c r="D458" s="14"/>
      <x:c r="E458" s="26"/>
      <x:c r="F458" s="26"/>
      <x:c r="G458" s="26"/>
      <x:c r="H458" s="26"/>
      <x:c r="I458" s="26"/>
      <x:c r="J458" s="14"/>
      <x:c r="K458" s="14"/>
      <x:c r="L458" s="14"/>
      <x:c r="M458" s="14"/>
      <x:c r="N458" s="14"/>
    </x:row>
    <x:row r="459">
      <x:c r="A459" s="14"/>
      <x:c r="B459" s="14"/>
      <x:c r="C459" s="14"/>
      <x:c r="D459" s="14"/>
      <x:c r="E459" s="26"/>
      <x:c r="F459" s="26"/>
      <x:c r="G459" s="26"/>
      <x:c r="H459" s="26"/>
      <x:c r="I459" s="26"/>
      <x:c r="J459" s="14"/>
      <x:c r="K459" s="14"/>
      <x:c r="L459" s="14"/>
      <x:c r="M459" s="14"/>
      <x:c r="N459" s="14"/>
    </x:row>
    <x:row r="460">
      <x:c r="A460" s="14"/>
      <x:c r="B460" s="14"/>
      <x:c r="C460" s="14"/>
      <x:c r="D460" s="14"/>
      <x:c r="E460" s="26"/>
      <x:c r="F460" s="26"/>
      <x:c r="G460" s="26"/>
      <x:c r="H460" s="26"/>
      <x:c r="I460" s="26"/>
      <x:c r="J460" s="14"/>
      <x:c r="K460" s="14"/>
      <x:c r="L460" s="14"/>
      <x:c r="M460" s="14"/>
      <x:c r="N460" s="14"/>
    </x:row>
    <x:row r="461">
      <x:c r="A461" s="14"/>
      <x:c r="B461" s="14"/>
      <x:c r="C461" s="14"/>
      <x:c r="D461" s="14"/>
      <x:c r="E461" s="26"/>
      <x:c r="F461" s="26"/>
      <x:c r="G461" s="26"/>
      <x:c r="H461" s="26"/>
      <x:c r="I461" s="26"/>
      <x:c r="J461" s="14"/>
      <x:c r="K461" s="14"/>
      <x:c r="L461" s="14"/>
      <x:c r="M461" s="14"/>
      <x:c r="N461" s="14"/>
    </x:row>
    <x:row r="462">
      <x:c r="A462" s="14"/>
      <x:c r="B462" s="14"/>
      <x:c r="C462" s="14"/>
      <x:c r="D462" s="14"/>
      <x:c r="E462" s="26"/>
      <x:c r="F462" s="26"/>
      <x:c r="G462" s="26"/>
      <x:c r="H462" s="26"/>
      <x:c r="I462" s="26"/>
      <x:c r="J462" s="14"/>
      <x:c r="K462" s="14"/>
      <x:c r="L462" s="14"/>
      <x:c r="M462" s="14"/>
      <x:c r="N462" s="14"/>
    </x:row>
    <x:row r="463">
      <x:c r="A463" s="14"/>
      <x:c r="B463" s="14"/>
      <x:c r="C463" s="14"/>
      <x:c r="D463" s="14"/>
      <x:c r="E463" s="26"/>
      <x:c r="F463" s="26"/>
      <x:c r="G463" s="26"/>
      <x:c r="H463" s="26"/>
      <x:c r="I463" s="26"/>
      <x:c r="J463" s="14"/>
      <x:c r="K463" s="14"/>
      <x:c r="L463" s="14"/>
      <x:c r="M463" s="14"/>
      <x:c r="N463" s="14"/>
    </x:row>
    <x:row r="464">
      <x:c r="A464" s="14"/>
      <x:c r="B464" s="14"/>
      <x:c r="C464" s="14"/>
      <x:c r="D464" s="14"/>
      <x:c r="E464" s="26"/>
      <x:c r="F464" s="26"/>
      <x:c r="G464" s="26"/>
      <x:c r="H464" s="26"/>
      <x:c r="I464" s="26"/>
      <x:c r="J464" s="14"/>
      <x:c r="K464" s="14"/>
      <x:c r="L464" s="14"/>
      <x:c r="M464" s="14"/>
      <x:c r="N464" s="14"/>
    </x:row>
    <x:row r="465">
      <x:c r="A465" s="14"/>
      <x:c r="B465" s="14"/>
      <x:c r="C465" s="14"/>
      <x:c r="D465" s="14"/>
      <x:c r="E465" s="26"/>
      <x:c r="F465" s="26"/>
      <x:c r="G465" s="26"/>
      <x:c r="H465" s="26"/>
      <x:c r="I465" s="26"/>
      <x:c r="J465" s="14"/>
      <x:c r="K465" s="14"/>
      <x:c r="L465" s="14"/>
      <x:c r="M465" s="14"/>
      <x:c r="N465" s="14"/>
    </x:row>
    <x:row r="466">
      <x:c r="A466" s="14"/>
      <x:c r="B466" s="14"/>
      <x:c r="C466" s="14"/>
      <x:c r="D466" s="14"/>
      <x:c r="E466" s="26"/>
      <x:c r="F466" s="26"/>
      <x:c r="G466" s="26"/>
      <x:c r="H466" s="26"/>
      <x:c r="I466" s="26"/>
      <x:c r="J466" s="14"/>
      <x:c r="K466" s="14"/>
      <x:c r="L466" s="14"/>
      <x:c r="M466" s="14"/>
      <x:c r="N466" s="14"/>
    </x:row>
    <x:row r="467">
      <x:c r="A467" s="14"/>
      <x:c r="B467" s="14"/>
      <x:c r="C467" s="14"/>
      <x:c r="D467" s="14"/>
      <x:c r="E467" s="26"/>
      <x:c r="F467" s="26"/>
      <x:c r="G467" s="26"/>
      <x:c r="H467" s="26"/>
      <x:c r="I467" s="26"/>
      <x:c r="J467" s="14"/>
      <x:c r="K467" s="14"/>
      <x:c r="L467" s="14"/>
      <x:c r="M467" s="14"/>
      <x:c r="N467" s="14"/>
    </x:row>
    <x:row r="468">
      <x:c r="A468" s="14"/>
      <x:c r="B468" s="14"/>
      <x:c r="C468" s="14"/>
      <x:c r="D468" s="14"/>
      <x:c r="E468" s="26"/>
      <x:c r="F468" s="26"/>
      <x:c r="G468" s="26"/>
      <x:c r="H468" s="26"/>
      <x:c r="I468" s="26"/>
      <x:c r="J468" s="14"/>
      <x:c r="K468" s="14"/>
      <x:c r="L468" s="14"/>
      <x:c r="M468" s="14"/>
      <x:c r="N468" s="14"/>
    </x:row>
    <x:row r="469">
      <x:c r="A469" s="14"/>
      <x:c r="B469" s="14"/>
      <x:c r="C469" s="14"/>
      <x:c r="D469" s="14"/>
      <x:c r="E469" s="26"/>
      <x:c r="F469" s="26"/>
      <x:c r="G469" s="26"/>
      <x:c r="H469" s="26"/>
      <x:c r="I469" s="26"/>
      <x:c r="J469" s="14"/>
      <x:c r="K469" s="14"/>
      <x:c r="L469" s="14"/>
      <x:c r="M469" s="14"/>
      <x:c r="N469" s="14"/>
    </x:row>
    <x:row r="470">
      <x:c r="A470" s="14"/>
      <x:c r="B470" s="14"/>
      <x:c r="C470" s="14"/>
      <x:c r="D470" s="14"/>
      <x:c r="E470" s="26"/>
      <x:c r="F470" s="26"/>
      <x:c r="G470" s="26"/>
      <x:c r="H470" s="26"/>
      <x:c r="I470" s="26"/>
      <x:c r="J470" s="14"/>
      <x:c r="K470" s="14"/>
      <x:c r="L470" s="14"/>
      <x:c r="M470" s="14"/>
      <x:c r="N470" s="14"/>
    </x:row>
    <x:row r="471">
      <x:c r="A471" s="14"/>
      <x:c r="B471" s="14"/>
      <x:c r="C471" s="14"/>
      <x:c r="D471" s="14"/>
      <x:c r="E471" s="26"/>
      <x:c r="F471" s="26"/>
      <x:c r="G471" s="26"/>
      <x:c r="H471" s="26"/>
      <x:c r="I471" s="26"/>
      <x:c r="J471" s="14"/>
      <x:c r="K471" s="14"/>
      <x:c r="L471" s="14"/>
      <x:c r="M471" s="14"/>
      <x:c r="N471" s="14"/>
    </x:row>
    <x:row r="472">
      <x:c r="A472" s="14"/>
      <x:c r="B472" s="14"/>
      <x:c r="C472" s="14"/>
      <x:c r="D472" s="14"/>
      <x:c r="E472" s="26"/>
      <x:c r="F472" s="26"/>
      <x:c r="G472" s="26"/>
      <x:c r="H472" s="26"/>
      <x:c r="I472" s="26"/>
      <x:c r="J472" s="14"/>
      <x:c r="K472" s="14"/>
      <x:c r="L472" s="14"/>
      <x:c r="M472" s="14"/>
      <x:c r="N472" s="14"/>
    </x:row>
    <x:row r="473">
      <x:c r="A473" s="14"/>
      <x:c r="B473" s="14"/>
      <x:c r="C473" s="14"/>
      <x:c r="D473" s="14"/>
      <x:c r="E473" s="26"/>
      <x:c r="F473" s="26"/>
      <x:c r="G473" s="26"/>
      <x:c r="H473" s="26"/>
      <x:c r="I473" s="26"/>
      <x:c r="J473" s="14"/>
      <x:c r="K473" s="14"/>
      <x:c r="L473" s="14"/>
      <x:c r="M473" s="14"/>
      <x:c r="N473" s="14"/>
    </x:row>
    <x:row r="474">
      <x:c r="A474" s="14"/>
      <x:c r="B474" s="14"/>
      <x:c r="C474" s="14"/>
      <x:c r="D474" s="14"/>
      <x:c r="E474" s="26"/>
      <x:c r="F474" s="26"/>
      <x:c r="G474" s="26"/>
      <x:c r="H474" s="26"/>
      <x:c r="I474" s="26"/>
      <x:c r="J474" s="14"/>
      <x:c r="K474" s="14"/>
      <x:c r="L474" s="14"/>
      <x:c r="M474" s="14"/>
      <x:c r="N474" s="14"/>
    </x:row>
    <x:row r="475">
      <x:c r="A475" s="14"/>
      <x:c r="B475" s="14"/>
      <x:c r="C475" s="14"/>
      <x:c r="D475" s="14"/>
      <x:c r="E475" s="26"/>
      <x:c r="F475" s="26"/>
      <x:c r="G475" s="26"/>
      <x:c r="H475" s="26"/>
      <x:c r="I475" s="26"/>
      <x:c r="J475" s="14"/>
      <x:c r="K475" s="14"/>
      <x:c r="L475" s="14"/>
      <x:c r="M475" s="14"/>
      <x:c r="N475" s="14"/>
    </x:row>
    <x:row r="476">
      <x:c r="A476" s="14"/>
      <x:c r="B476" s="14"/>
      <x:c r="C476" s="14"/>
      <x:c r="D476" s="14"/>
      <x:c r="E476" s="26"/>
      <x:c r="F476" s="26"/>
      <x:c r="G476" s="26"/>
      <x:c r="H476" s="26"/>
      <x:c r="I476" s="26"/>
      <x:c r="J476" s="14"/>
      <x:c r="K476" s="14"/>
      <x:c r="L476" s="14"/>
      <x:c r="M476" s="14"/>
      <x:c r="N476" s="14"/>
    </x:row>
    <x:row r="477">
      <x:c r="A477" s="14"/>
      <x:c r="B477" s="14"/>
      <x:c r="C477" s="14"/>
      <x:c r="D477" s="14"/>
      <x:c r="E477" s="26"/>
      <x:c r="F477" s="26"/>
      <x:c r="G477" s="26"/>
      <x:c r="H477" s="26"/>
      <x:c r="I477" s="26"/>
      <x:c r="J477" s="14"/>
      <x:c r="K477" s="14"/>
      <x:c r="L477" s="14"/>
      <x:c r="M477" s="14"/>
      <x:c r="N477" s="14"/>
    </x:row>
    <x:row r="478">
      <x:c r="A478" s="14"/>
      <x:c r="B478" s="14"/>
      <x:c r="C478" s="14"/>
      <x:c r="D478" s="14"/>
      <x:c r="E478" s="26"/>
      <x:c r="F478" s="26"/>
      <x:c r="G478" s="26"/>
      <x:c r="H478" s="26"/>
      <x:c r="I478" s="26"/>
      <x:c r="J478" s="14"/>
      <x:c r="K478" s="14"/>
      <x:c r="L478" s="14"/>
      <x:c r="M478" s="14"/>
      <x:c r="N478" s="14"/>
    </x:row>
    <x:row r="479">
      <x:c r="A479" s="14"/>
      <x:c r="B479" s="14"/>
      <x:c r="C479" s="14"/>
      <x:c r="D479" s="14"/>
      <x:c r="E479" s="26"/>
      <x:c r="F479" s="26"/>
      <x:c r="G479" s="26"/>
      <x:c r="H479" s="26"/>
      <x:c r="I479" s="26"/>
      <x:c r="J479" s="14"/>
      <x:c r="K479" s="14"/>
      <x:c r="L479" s="14"/>
      <x:c r="M479" s="14"/>
      <x:c r="N479" s="14"/>
    </x:row>
    <x:row r="480">
      <x:c r="A480" s="14"/>
      <x:c r="B480" s="14"/>
      <x:c r="C480" s="14"/>
      <x:c r="D480" s="14"/>
      <x:c r="E480" s="26"/>
      <x:c r="F480" s="26"/>
      <x:c r="G480" s="26"/>
      <x:c r="H480" s="26"/>
      <x:c r="I480" s="26"/>
      <x:c r="J480" s="14"/>
      <x:c r="K480" s="14"/>
      <x:c r="L480" s="14"/>
      <x:c r="M480" s="14"/>
      <x:c r="N480" s="14"/>
    </x:row>
    <x:row r="481">
      <x:c r="A481" s="14"/>
      <x:c r="B481" s="14"/>
      <x:c r="C481" s="14"/>
      <x:c r="D481" s="14"/>
      <x:c r="E481" s="26"/>
      <x:c r="F481" s="26"/>
      <x:c r="G481" s="26"/>
      <x:c r="H481" s="26"/>
      <x:c r="I481" s="26"/>
      <x:c r="J481" s="14"/>
      <x:c r="K481" s="14"/>
      <x:c r="L481" s="14"/>
      <x:c r="M481" s="14"/>
      <x:c r="N481" s="14"/>
    </x:row>
    <x:row r="482">
      <x:c r="A482" s="14"/>
      <x:c r="B482" s="14"/>
      <x:c r="C482" s="14"/>
      <x:c r="D482" s="14"/>
      <x:c r="E482" s="26"/>
      <x:c r="F482" s="26"/>
      <x:c r="G482" s="26"/>
      <x:c r="H482" s="26"/>
      <x:c r="I482" s="26"/>
      <x:c r="J482" s="14"/>
      <x:c r="K482" s="14"/>
      <x:c r="L482" s="14"/>
      <x:c r="M482" s="14"/>
      <x:c r="N482" s="14"/>
    </x:row>
    <x:row r="483">
      <x:c r="A483" s="14"/>
      <x:c r="B483" s="14"/>
      <x:c r="C483" s="14"/>
      <x:c r="D483" s="14"/>
      <x:c r="E483" s="26"/>
      <x:c r="F483" s="26"/>
      <x:c r="G483" s="26"/>
      <x:c r="H483" s="26"/>
      <x:c r="I483" s="26"/>
      <x:c r="J483" s="14"/>
      <x:c r="K483" s="14"/>
      <x:c r="L483" s="14"/>
      <x:c r="M483" s="14"/>
      <x:c r="N483" s="14"/>
    </x:row>
    <x:row r="484">
      <x:c r="A484" s="14"/>
      <x:c r="B484" s="14"/>
      <x:c r="C484" s="14"/>
      <x:c r="D484" s="14"/>
      <x:c r="E484" s="26"/>
      <x:c r="F484" s="26"/>
      <x:c r="G484" s="26"/>
      <x:c r="H484" s="26"/>
      <x:c r="I484" s="26"/>
      <x:c r="J484" s="14"/>
      <x:c r="K484" s="14"/>
      <x:c r="L484" s="14"/>
      <x:c r="M484" s="14"/>
      <x:c r="N484" s="14"/>
    </x:row>
    <x:row r="485">
      <x:c r="A485" s="14"/>
      <x:c r="B485" s="14"/>
      <x:c r="C485" s="14"/>
      <x:c r="D485" s="14"/>
      <x:c r="E485" s="26"/>
      <x:c r="F485" s="26"/>
      <x:c r="G485" s="26"/>
      <x:c r="H485" s="26"/>
      <x:c r="I485" s="26"/>
      <x:c r="J485" s="14"/>
      <x:c r="K485" s="14"/>
      <x:c r="L485" s="14"/>
      <x:c r="M485" s="14"/>
      <x:c r="N485" s="14"/>
    </x:row>
    <x:row r="486">
      <x:c r="A486" s="14"/>
      <x:c r="B486" s="14"/>
      <x:c r="C486" s="14"/>
      <x:c r="D486" s="14"/>
      <x:c r="E486" s="26"/>
      <x:c r="F486" s="26"/>
      <x:c r="G486" s="26"/>
      <x:c r="H486" s="26"/>
      <x:c r="I486" s="26"/>
      <x:c r="J486" s="14"/>
      <x:c r="K486" s="14"/>
      <x:c r="L486" s="14"/>
      <x:c r="M486" s="14"/>
      <x:c r="N486" s="14"/>
    </x:row>
    <x:row r="487">
      <x:c r="A487" s="14"/>
      <x:c r="B487" s="14"/>
      <x:c r="C487" s="14"/>
      <x:c r="D487" s="14"/>
      <x:c r="E487" s="26"/>
      <x:c r="F487" s="26"/>
      <x:c r="G487" s="26"/>
      <x:c r="H487" s="26"/>
      <x:c r="I487" s="26"/>
      <x:c r="J487" s="14"/>
      <x:c r="K487" s="14"/>
      <x:c r="L487" s="14"/>
      <x:c r="M487" s="14"/>
      <x:c r="N487" s="14"/>
    </x:row>
    <x:row r="488">
      <x:c r="A488" s="14"/>
      <x:c r="B488" s="14"/>
      <x:c r="C488" s="14"/>
      <x:c r="D488" s="14"/>
      <x:c r="E488" s="26"/>
      <x:c r="F488" s="26"/>
      <x:c r="G488" s="26"/>
      <x:c r="H488" s="26"/>
      <x:c r="I488" s="26"/>
      <x:c r="J488" s="14"/>
      <x:c r="K488" s="14"/>
      <x:c r="L488" s="14"/>
      <x:c r="M488" s="14"/>
      <x:c r="N488" s="14"/>
    </x:row>
    <x:row r="489">
      <x:c r="A489" s="14"/>
      <x:c r="B489" s="14"/>
      <x:c r="C489" s="14"/>
      <x:c r="D489" s="14"/>
      <x:c r="E489" s="26"/>
      <x:c r="F489" s="26"/>
      <x:c r="G489" s="26"/>
      <x:c r="H489" s="26"/>
      <x:c r="I489" s="26"/>
      <x:c r="J489" s="14"/>
      <x:c r="K489" s="14"/>
      <x:c r="L489" s="14"/>
      <x:c r="M489" s="14"/>
      <x:c r="N489" s="14"/>
    </x:row>
    <x:row r="490">
      <x:c r="A490" s="14"/>
      <x:c r="B490" s="14"/>
      <x:c r="C490" s="14"/>
      <x:c r="D490" s="14"/>
      <x:c r="E490" s="26"/>
      <x:c r="F490" s="26"/>
      <x:c r="G490" s="26"/>
      <x:c r="H490" s="26"/>
      <x:c r="I490" s="26"/>
      <x:c r="J490" s="14"/>
      <x:c r="K490" s="14"/>
      <x:c r="L490" s="14"/>
      <x:c r="M490" s="14"/>
      <x:c r="N490" s="14"/>
    </x:row>
    <x:row r="491">
      <x:c r="A491" s="14"/>
      <x:c r="B491" s="14"/>
      <x:c r="C491" s="14"/>
      <x:c r="D491" s="14"/>
      <x:c r="E491" s="26"/>
      <x:c r="F491" s="26"/>
      <x:c r="G491" s="26"/>
      <x:c r="H491" s="26"/>
      <x:c r="I491" s="26"/>
      <x:c r="J491" s="14"/>
      <x:c r="K491" s="14"/>
      <x:c r="L491" s="14"/>
      <x:c r="M491" s="14"/>
      <x:c r="N491" s="14"/>
    </x:row>
    <x:row r="492">
      <x:c r="A492" s="14"/>
      <x:c r="B492" s="14"/>
      <x:c r="C492" s="14"/>
      <x:c r="D492" s="14"/>
      <x:c r="E492" s="26"/>
      <x:c r="F492" s="26"/>
      <x:c r="G492" s="26"/>
      <x:c r="H492" s="26"/>
      <x:c r="I492" s="26"/>
      <x:c r="J492" s="14"/>
      <x:c r="K492" s="14"/>
      <x:c r="L492" s="14"/>
      <x:c r="M492" s="14"/>
      <x:c r="N492" s="14"/>
    </x:row>
    <x:row r="493">
      <x:c r="A493" s="14"/>
      <x:c r="B493" s="14"/>
      <x:c r="C493" s="14"/>
      <x:c r="D493" s="14"/>
      <x:c r="E493" s="26"/>
      <x:c r="F493" s="26"/>
      <x:c r="G493" s="26"/>
      <x:c r="H493" s="26"/>
      <x:c r="I493" s="26"/>
      <x:c r="J493" s="14"/>
      <x:c r="K493" s="14"/>
      <x:c r="L493" s="14"/>
      <x:c r="M493" s="14"/>
      <x:c r="N493" s="14"/>
    </x:row>
    <x:row r="494">
      <x:c r="A494" s="14"/>
      <x:c r="B494" s="14"/>
      <x:c r="C494" s="14"/>
      <x:c r="D494" s="14"/>
      <x:c r="E494" s="26"/>
      <x:c r="F494" s="26"/>
      <x:c r="G494" s="26"/>
      <x:c r="H494" s="26"/>
      <x:c r="I494" s="26"/>
      <x:c r="J494" s="14"/>
      <x:c r="K494" s="14"/>
      <x:c r="L494" s="14"/>
      <x:c r="M494" s="14"/>
      <x:c r="N494" s="14"/>
    </x:row>
    <x:row r="495">
      <x:c r="A495" s="14"/>
      <x:c r="B495" s="14"/>
      <x:c r="C495" s="14"/>
      <x:c r="D495" s="14"/>
      <x:c r="E495" s="26"/>
      <x:c r="F495" s="26"/>
      <x:c r="G495" s="26"/>
      <x:c r="H495" s="26"/>
      <x:c r="I495" s="26"/>
      <x:c r="J495" s="14"/>
      <x:c r="K495" s="14"/>
      <x:c r="L495" s="14"/>
      <x:c r="M495" s="14"/>
      <x:c r="N495" s="14"/>
    </x:row>
    <x:row r="496">
      <x:c r="A496" s="14"/>
      <x:c r="B496" s="14"/>
      <x:c r="C496" s="14"/>
      <x:c r="D496" s="14"/>
      <x:c r="E496" s="26"/>
      <x:c r="F496" s="26"/>
      <x:c r="G496" s="26"/>
      <x:c r="H496" s="26"/>
      <x:c r="I496" s="26"/>
      <x:c r="J496" s="14"/>
      <x:c r="K496" s="14"/>
      <x:c r="L496" s="14"/>
      <x:c r="M496" s="14"/>
      <x:c r="N496" s="14"/>
    </x:row>
    <x:row r="497">
      <x:c r="A497" s="14"/>
      <x:c r="B497" s="14"/>
      <x:c r="C497" s="14"/>
      <x:c r="D497" s="14"/>
      <x:c r="E497" s="26"/>
      <x:c r="F497" s="26"/>
      <x:c r="G497" s="26"/>
      <x:c r="H497" s="26"/>
      <x:c r="I497" s="26"/>
      <x:c r="J497" s="14"/>
      <x:c r="K497" s="14"/>
      <x:c r="L497" s="14"/>
      <x:c r="M497" s="14"/>
      <x:c r="N497" s="14"/>
    </x:row>
    <x:row r="498">
      <x:c r="A498" s="14"/>
      <x:c r="B498" s="14"/>
      <x:c r="C498" s="14"/>
      <x:c r="D498" s="14"/>
      <x:c r="E498" s="26"/>
      <x:c r="F498" s="26"/>
      <x:c r="G498" s="26"/>
      <x:c r="H498" s="26"/>
      <x:c r="I498" s="26"/>
      <x:c r="J498" s="14"/>
      <x:c r="K498" s="14"/>
      <x:c r="L498" s="14"/>
      <x:c r="M498" s="14"/>
      <x:c r="N498" s="14"/>
    </x:row>
    <x:row r="499">
      <x:c r="A499" s="14"/>
      <x:c r="B499" s="14"/>
      <x:c r="C499" s="14"/>
      <x:c r="D499" s="14"/>
      <x:c r="E499" s="26"/>
      <x:c r="F499" s="26"/>
      <x:c r="G499" s="26"/>
      <x:c r="H499" s="26"/>
      <x:c r="I499" s="26"/>
      <x:c r="J499" s="14"/>
      <x:c r="K499" s="14"/>
      <x:c r="L499" s="14"/>
      <x:c r="M499" s="14"/>
      <x:c r="N499" s="14"/>
    </x:row>
    <x:row r="500">
      <x:c r="A500" s="14"/>
      <x:c r="B500" s="14"/>
      <x:c r="C500" s="14"/>
      <x:c r="D500" s="14"/>
      <x:c r="E500" s="26"/>
      <x:c r="F500" s="26"/>
      <x:c r="G500" s="26"/>
      <x:c r="H500" s="26"/>
      <x:c r="I500" s="26"/>
      <x:c r="J500" s="14"/>
      <x:c r="K500" s="14"/>
      <x:c r="L500" s="14"/>
      <x:c r="M500" s="14"/>
      <x:c r="N500" s="14"/>
    </x:row>
    <x:row r="501">
      <x:c r="A501" s="14"/>
      <x:c r="B501" s="14"/>
      <x:c r="C501" s="14"/>
      <x:c r="D501" s="14"/>
      <x:c r="E501" s="26"/>
      <x:c r="F501" s="26"/>
      <x:c r="G501" s="26"/>
      <x:c r="H501" s="26"/>
      <x:c r="I501" s="26"/>
      <x:c r="J501" s="14"/>
      <x:c r="K501" s="14"/>
      <x:c r="L501" s="14"/>
      <x:c r="M501" s="14"/>
      <x:c r="N501" s="14"/>
    </x:row>
    <x:row r="502">
      <x:c r="A502" s="14"/>
      <x:c r="B502" s="14"/>
      <x:c r="C502" s="14"/>
      <x:c r="D502" s="14"/>
      <x:c r="E502" s="26"/>
      <x:c r="F502" s="26"/>
      <x:c r="G502" s="26"/>
      <x:c r="H502" s="26"/>
      <x:c r="I502" s="26"/>
      <x:c r="J502" s="14"/>
      <x:c r="K502" s="14"/>
      <x:c r="L502" s="14"/>
      <x:c r="M502" s="14"/>
      <x:c r="N502" s="14"/>
    </x:row>
    <x:row r="503">
      <x:c r="A503" s="14"/>
      <x:c r="B503" s="14"/>
      <x:c r="C503" s="14"/>
      <x:c r="D503" s="14"/>
      <x:c r="E503" s="26"/>
      <x:c r="F503" s="26"/>
      <x:c r="G503" s="26"/>
      <x:c r="H503" s="26"/>
      <x:c r="I503" s="26"/>
      <x:c r="J503" s="14"/>
      <x:c r="K503" s="14"/>
      <x:c r="L503" s="14"/>
      <x:c r="M503" s="14"/>
      <x:c r="N503" s="14"/>
    </x:row>
    <x:row r="504">
      <x:c r="A504" s="14"/>
      <x:c r="B504" s="14"/>
      <x:c r="C504" s="14"/>
      <x:c r="D504" s="14"/>
      <x:c r="E504" s="26"/>
      <x:c r="F504" s="26"/>
      <x:c r="G504" s="26"/>
      <x:c r="H504" s="26"/>
      <x:c r="I504" s="26"/>
      <x:c r="J504" s="14"/>
      <x:c r="K504" s="14"/>
      <x:c r="L504" s="14"/>
      <x:c r="M504" s="14"/>
      <x:c r="N504" s="14"/>
    </x:row>
    <x:row r="505">
      <x:c r="A505" s="14"/>
      <x:c r="B505" s="14"/>
      <x:c r="C505" s="14"/>
      <x:c r="D505" s="14"/>
      <x:c r="E505" s="26"/>
      <x:c r="F505" s="26"/>
      <x:c r="G505" s="26"/>
      <x:c r="H505" s="26"/>
      <x:c r="I505" s="26"/>
      <x:c r="J505" s="14"/>
      <x:c r="K505" s="14"/>
      <x:c r="L505" s="14"/>
      <x:c r="M505" s="14"/>
      <x:c r="N505" s="14"/>
    </x:row>
  </x:sheetData>
  <x:mergeCells>
    <x:mergeCell ref="A1:N1"/>
    <x:mergeCell ref="B2:N2"/>
    <x:mergeCell ref="B3:N3"/>
  </x:mergeCells>
  <x:dataValidations count="7">
    <x:dataValidation type="list" sqref="B6:B505">
      <x:formula1>"A,B"</x:formula1>
    </x:dataValidation>
    <x:dataValidation type="list" sqref="E6:E505">
      <x:formula1>"sufficient,insufficient,unclear"</x:formula1>
    </x:dataValidation>
    <x:dataValidation type="list" sqref="F6:F505">
      <x:formula1>"clear,minor_revision,major_revision"</x:formula1>
    </x:dataValidation>
    <x:dataValidation type="list" sqref="G6:G505">
      <x:formula1>"correct,revise,incorrect"</x:formula1>
    </x:dataValidation>
    <x:dataValidation type="list" sqref="H6:H505">
      <x:formula1>"complete,add,remove,unclear"</x:formula1>
    </x:dataValidation>
    <x:dataValidation type="list" sqref="I6:I505">
      <x:formula1>"accept,revise,exclude"</x:formula1>
    </x:dataValidation>
    <x:dataValidation type="list" sqref="N6:N5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ad26d402ca48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8.75" hidden="0" customWidth="1"/>
    <x:col min="3" max="3" width="18.75" hidden="0" customWidth="1"/>
    <x:col min="4" max="4" width="8.75" hidden="0" customWidth="1"/>
    <x:col min="5" max="5" width="37.5" hidden="0" customWidth="1"/>
    <x:col min="6" max="6" width="18.1299991607666" hidden="0" customWidth="1"/>
    <x:col min="7" max="7" width="34.380001068115234" hidden="0" customWidth="1"/>
    <x:col min="8" max="8" width="30" hidden="0" customWidth="1"/>
    <x:col min="9" max="9" width="27.5" hidden="0" customWidth="1"/>
    <x:col min="10" max="10" width="11.25" hidden="0" customWidth="1"/>
    <x:col min="11" max="11" width="11.880000114440918" hidden="0" customWidth="1"/>
    <x:col min="12" max="12" width="13.130000114440918" hidden="0" customWidth="1"/>
    <x:col min="13" max="13" width="11.25" hidden="0" customWidth="1"/>
    <x:col min="14" max="14" width="11.880000114440918" hidden="0" customWidth="1"/>
    <x:col min="15" max="15" width="16.8799991607666" hidden="0" customWidth="1"/>
    <x:col min="16" max="16" width="32.5" hidden="0" customWidth="1"/>
  </x:cols>
  <x:sheetData>
    <x:row r="1" ht="28.5" customHeight="1">
      <x:c r="A1" s="3" t="str">
        <x:v>Lightweight Pipeline Pilot — 36 Dev Items × 2 Models</x:v>
      </x:c>
      <x:c r="B1" s="3" t="str">
        <x:v>Lightweight Pipeline Pilot — 36 Dev Items × 2 Models</x:v>
      </x:c>
      <x:c r="C1" s="3" t="str">
        <x:v>Lightweight Pipeline Pilot — 36 Dev Items × 2 Models</x:v>
      </x:c>
      <x:c r="D1" s="3" t="str">
        <x:v>Lightweight Pipeline Pilot — 36 Dev Items × 2 Models</x:v>
      </x:c>
      <x:c r="E1" s="3" t="str">
        <x:v>Lightweight Pipeline Pilot — 36 Dev Items × 2 Models</x:v>
      </x:c>
      <x:c r="F1" s="3" t="str">
        <x:v>Lightweight Pipeline Pilot — 36 Dev Items × 2 Models</x:v>
      </x:c>
      <x:c r="G1" s="3" t="str">
        <x:v>Lightweight Pipeline Pilot — 36 Dev Items × 2 Models</x:v>
      </x:c>
      <x:c r="H1" s="3" t="str">
        <x:v>Lightweight Pipeline Pilot — 36 Dev Items × 2 Models</x:v>
      </x:c>
      <x:c r="I1" s="3" t="str">
        <x:v>Lightweight Pipeline Pilot — 36 Dev Items × 2 Models</x:v>
      </x:c>
      <x:c r="J1" s="3" t="str">
        <x:v>Lightweight Pipeline Pilot — 36 Dev Items × 2 Models</x:v>
      </x:c>
      <x:c r="K1" s="3" t="str">
        <x:v>Lightweight Pipeline Pilot — 36 Dev Items × 2 Models</x:v>
      </x:c>
      <x:c r="L1" s="3" t="str">
        <x:v>Lightweight Pipeline Pilot — 36 Dev Items × 2 Models</x:v>
      </x:c>
      <x:c r="M1" s="3" t="str">
        <x:v>Lightweight Pipeline Pilot — 36 Dev Items × 2 Models</x:v>
      </x:c>
      <x:c r="N1" s="3" t="str">
        <x:v>Lightweight Pipeline Pilot — 36 Dev Items × 2 Models</x:v>
      </x:c>
      <x:c r="O1" s="3" t="str">
        <x:v>Lightweight Pipeline Pilot — 36 Dev Items × 2 Models</x:v>
      </x:c>
      <x:c r="P1" s="3" t="str">
        <x:v>Lightweight Pipeline Pilot — 36 Dev Items × 2 Models</x:v>
      </x:c>
    </x:row>
    <x:row r="2">
      <x:c r="A2" s="17" t="str">
        <x:v>M1 exact_model_id</x:v>
      </x:c>
      <x:c r="B2" s="36" t="str"/>
      <x:c r="C2" s="17" t="str">
        <x:v>M2 exact_model_id</x:v>
      </x:c>
      <x:c r="D2" s="36" t="str"/>
      <x:c r="E2" s="17" t="str">
        <x:v>prompt_version</x:v>
      </x:c>
      <x:c r="F2" t="str">
        <x:v>prompt_tr_v0.1</x:v>
      </x:c>
      <x:c r="G2" s="17" t="str">
        <x:v>normalization_version</x:v>
      </x:c>
      <x:c r="H2" s="36" t="str"/>
      <x:c r="I2" s="17" t="str">
        <x:v>sampling</x:v>
      </x:c>
      <x:c r="J2" t="str">
        <x:v>deterministic</x:v>
      </x:c>
      <x:c r="K2" s="17" t="str">
        <x:v>tools</x:v>
      </x:c>
      <x:c r="L2" t="str">
        <x:v>off</x:v>
      </x:c>
      <x:c r="M2" s="17" t="str">
        <x:v>max_tokens</x:v>
      </x:c>
      <x:c r="N2" t="n">
        <x:v>64</x:v>
      </x:c>
      <x:c r="O2" s="17" t="str">
        <x:v>run_date</x:v>
      </x:c>
      <x:c r="P2" s="36" t="str"/>
    </x:row>
    <x:row r="3">
      <x:c r="A3" s="17" t="str">
        <x:v>Purpose</x:v>
      </x:c>
      <x:c r="B3" s="34" t="str">
        <x:v>Debug prompt, normalization, exact matching, abstention, and human-review routing. Do not use this sheet for model ranking.</x:v>
      </x:c>
      <x:c r="C3" s="34" t="str"/>
      <x:c r="D3" s="34" t="str"/>
      <x:c r="E3" s="34" t="str"/>
      <x:c r="F3" s="34" t="str"/>
      <x:c r="G3" s="34" t="str"/>
      <x:c r="H3" s="34" t="str"/>
      <x:c r="I3" s="34" t="str"/>
      <x:c r="J3" s="34" t="str"/>
      <x:c r="K3" s="34" t="str"/>
      <x:c r="L3" s="34" t="str"/>
      <x:c r="M3" s="34" t="str"/>
      <x:c r="N3" s="34" t="str"/>
      <x:c r="O3" s="34" t="str"/>
      <x:c r="P3" s="34" t="str"/>
    </x:row>
    <x:row r="5" ht="37.5" customHeight="1">
      <x:c r="A5" s="22" t="str">
        <x:v>run_id</x:v>
      </x:c>
      <x:c r="B5" s="22" t="str">
        <x:v>model_slot</x:v>
      </x:c>
      <x:c r="C5" s="22" t="str">
        <x:v>exact_model_id</x:v>
      </x:c>
      <x:c r="D5" s="22" t="str">
        <x:v>item_id</x:v>
      </x:c>
      <x:c r="E5" s="22" t="str">
        <x:v>question_tr</x:v>
      </x:c>
      <x:c r="F5" s="22" t="str">
        <x:v>gold_answer</x:v>
      </x:c>
      <x:c r="G5" s="22" t="str">
        <x:v>accepted_answers</x:v>
      </x:c>
      <x:c r="H5" s="22" t="str">
        <x:v>raw_response</x:v>
      </x:c>
      <x:c r="I5" s="22" t="str">
        <x:v>normalized_response</x:v>
      </x:c>
      <x:c r="J5" s="22" t="str">
        <x:v>auto_match</x:v>
      </x:c>
      <x:c r="K5" s="22" t="str">
        <x:v>manual_review</x:v>
      </x:c>
      <x:c r="L5" s="22" t="str">
        <x:v>provisional_label</x:v>
      </x:c>
      <x:c r="M5" s="22" t="str">
        <x:v>final_label</x:v>
      </x:c>
      <x:c r="N5" s="22" t="str">
        <x:v>scoring_issue</x:v>
      </x:c>
      <x:c r="O5" s="22" t="str">
        <x:v>issue_type</x:v>
      </x:c>
      <x:c r="P5" s="22" t="str">
        <x:v>notes</x:v>
      </x:c>
    </x:row>
    <x:row r="6">
      <x:c r="A6" s="14" t="str">
        <x:v>PILOT-M1-D001</x:v>
      </x:c>
      <x:c r="B6" s="14" t="str">
        <x:v>M1</x:v>
      </x:c>
      <x:c r="C6" s="14" t="str">
        <x:f>IF(B6="M1",IF(B2="","",B2),IF(D2="","",D2))</x:f>
      </x:c>
      <x:c r="D6" s="14" t="str">
        <x:v>D001</x:v>
      </x:c>
      <x:c r="E6" s="14" t="str">
        <x:v>Adana Kebabı için et geleneksel olarak hangi araçla kıyılır?</x:v>
      </x:c>
      <x:c r="F6" s="14" t="str">
        <x:v>Zırh</x:v>
      </x:c>
      <x:c r="G6" s="14" t="str">
        <x:v>zırh</x:v>
      </x:c>
      <x:c r="H6" s="26" t="str"/>
      <x:c r="I6" s="26" t="str"/>
      <x:c r="J6" s="26" t="str"/>
      <x:c r="K6" s="26" t="str"/>
      <x:c r="L6" s="26" t="str"/>
      <x:c r="M6" s="26" t="str"/>
      <x:c r="N6" s="26" t="str"/>
      <x:c r="O6" s="26" t="str"/>
      <x:c r="P6" s="26" t="str"/>
    </x:row>
    <x:row r="7">
      <x:c r="A7" s="14" t="str">
        <x:v>PILOT-M1-D002</x:v>
      </x:c>
      <x:c r="B7" s="14" t="str">
        <x:v>M1</x:v>
      </x:c>
      <x:c r="C7" s="14" t="str">
        <x:f>IF(B7="M1",IF(B2="","",B2),IF(D2="","",D2))</x:f>
      </x:c>
      <x:c r="D7" s="14" t="str">
        <x:v>D002</x:v>
      </x:c>
      <x:c r="E7" s="14" t="str">
        <x:v>Maraş Tarhanasının kurutulmak üzere serildiği geleneksel hasır örtüye ne ad verilir?</x:v>
      </x:c>
      <x:c r="F7" s="14" t="str">
        <x:v>Çığ</x:v>
      </x:c>
      <x:c r="G7" s="14" t="str">
        <x:v>çığ</x:v>
      </x:c>
      <x:c r="H7" s="26" t="str"/>
      <x:c r="I7" s="26" t="str"/>
      <x:c r="J7" s="26" t="str"/>
      <x:c r="K7" s="26" t="str"/>
      <x:c r="L7" s="26" t="str"/>
      <x:c r="M7" s="26" t="str"/>
      <x:c r="N7" s="26" t="str"/>
      <x:c r="O7" s="26" t="str"/>
      <x:c r="P7" s="26" t="str"/>
    </x:row>
    <x:row r="8">
      <x:c r="A8" s="14" t="str">
        <x:v>PILOT-M1-D003</x:v>
      </x:c>
      <x:c r="B8" s="14" t="str">
        <x:v>M1</x:v>
      </x:c>
      <x:c r="C8" s="14" t="str">
        <x:f>IF(B8="M1",IF(B2="","",B2),IF(D2="","",D2))</x:f>
      </x:c>
      <x:c r="D8" s="14" t="str">
        <x:v>D003</x:v>
      </x:c>
      <x:c r="E8" s="14" t="str">
        <x:v>UNESCO tanımına göre Türk kahvesi hazırlanırken öğütülmüş kahveye başlangıçta hangi sıcaklıktaki su eklenir?</x:v>
      </x:c>
      <x:c r="F8" s="14" t="str">
        <x:v>Soğuk</x:v>
      </x:c>
      <x:c r="G8" s="14" t="str">
        <x:v>soğuk | soğuk su</x:v>
      </x:c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</x:row>
    <x:row r="9">
      <x:c r="A9" s="14" t="str">
        <x:v>PILOT-M1-D004</x:v>
      </x:c>
      <x:c r="B9" s="14" t="str">
        <x:v>M1</x:v>
      </x:c>
      <x:c r="C9" s="14" t="str">
        <x:f>IF(B9="M1",IF(B2="","",B2),IF(D2="","",D2))</x:f>
      </x:c>
      <x:c r="D9" s="14" t="str">
        <x:v>D004</x:v>
      </x:c>
      <x:c r="E9" s="14" t="str">
        <x:v>UNESCO'ya göre Türk kahvesine geleneksel olarak hangi içecek eşlik eder?</x:v>
      </x:c>
      <x:c r="F9" s="14" t="str">
        <x:v>Su</x:v>
      </x:c>
      <x:c r="G9" s="14" t="str">
        <x:v>su | bir bardak su</x:v>
      </x:c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</x:row>
    <x:row r="10">
      <x:c r="A10" s="14" t="str">
        <x:v>PILOT-M1-D005</x:v>
      </x:c>
      <x:c r="B10" s="14" t="str">
        <x:v>M1</x:v>
      </x:c>
      <x:c r="C10" s="14" t="str">
        <x:f>IF(B10="M1",IF(B2="","",B2),IF(D2="","",D2))</x:f>
      </x:c>
      <x:c r="D10" s="14" t="str">
        <x:v>D005</x:v>
      </x:c>
      <x:c r="E10" s="14" t="str">
        <x:v>Antalya Piyazını diğer piyazlardan ayıran karakteristik sos nedir?</x:v>
      </x:c>
      <x:c r="F10" s="14" t="str">
        <x:v>Tarator</x:v>
      </x:c>
      <x:c r="G10" s="14" t="str">
        <x:v>tarator | tarator sosu</x:v>
      </x:c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</x:row>
    <x:row r="11">
      <x:c r="A11" s="14" t="str">
        <x:v>PILOT-M1-D006</x:v>
      </x:c>
      <x:c r="B11" s="14" t="str">
        <x:v>M1</x:v>
      </x:c>
      <x:c r="C11" s="14" t="str">
        <x:f>IF(B11="M1",IF(B2="","",B2),IF(D2="","",D2))</x:f>
      </x:c>
      <x:c r="D11" s="14" t="str">
        <x:v>D006</x:v>
      </x:c>
      <x:c r="E11" s="14" t="str">
        <x:v>Tarsus Humusunda pişmiş nohut geleneksel olarak hangi araçla ezilir?</x:v>
      </x:c>
      <x:c r="F11" s="14" t="str">
        <x:v>Tokmak</x:v>
      </x:c>
      <x:c r="G11" s="14" t="str">
        <x:v>tokmak</x:v>
      </x:c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</x:row>
    <x:row r="12">
      <x:c r="A12" s="14" t="str">
        <x:v>PILOT-M1-D007</x:v>
      </x:c>
      <x:c r="B12" s="14" t="str">
        <x:v>M1</x:v>
      </x:c>
      <x:c r="C12" s="14" t="str">
        <x:f>IF(B12="M1",IF(B2="","",B2),IF(D2="","",D2))</x:f>
      </x:c>
      <x:c r="D12" s="14" t="str">
        <x:v>D007</x:v>
      </x:c>
      <x:c r="E12" s="14" t="str">
        <x:v>Erzincan Kesme Kadayıfında yufka katlarının arasına hangi kuruyemiş konur?</x:v>
      </x:c>
      <x:c r="F12" s="14" t="str">
        <x:v>Ceviz</x:v>
      </x:c>
      <x:c r="G12" s="14" t="str">
        <x:v>ceviz | ceviz içi</x:v>
      </x:c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</x:row>
    <x:row r="13">
      <x:c r="A13" s="14" t="str">
        <x:v>PILOT-M1-D008</x:v>
      </x:c>
      <x:c r="B13" s="14" t="str">
        <x:v>M1</x:v>
      </x:c>
      <x:c r="C13" s="14" t="str">
        <x:f>IF(B13="M1",IF(B2="","",B2),IF(D2="","",D2))</x:f>
      </x:c>
      <x:c r="D13" s="14" t="str">
        <x:v>D008</x:v>
      </x:c>
      <x:c r="E13" s="14" t="str">
        <x:v>Diyarbakır Kaburga Dolmasının pirinçli iç harcında hangi kuruyemiş kullanılır?</x:v>
      </x:c>
      <x:c r="F13" s="14" t="str">
        <x:v>Badem</x:v>
      </x:c>
      <x:c r="G13" s="14" t="str">
        <x:v>badem | badem içi</x:v>
      </x:c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</x:row>
    <x:row r="14">
      <x:c r="A14" s="14" t="str">
        <x:v>PILOT-M1-D009</x:v>
      </x:c>
      <x:c r="B14" s="14" t="str">
        <x:v>M1</x:v>
      </x:c>
      <x:c r="C14" s="14" t="str">
        <x:f>IF(B14="M1",IF(B2="","",B2),IF(D2="","",D2))</x:f>
      </x:c>
      <x:c r="D14" s="14" t="str">
        <x:v>D009</x:v>
      </x:c>
      <x:c r="E14" s="14" t="str">
        <x:v>Maraş Tarhanasının iki temel bileşeni nedir?</x:v>
      </x:c>
      <x:c r="F14" s="14" t="str">
        <x:v>Yoğurt ve dövme</x:v>
      </x:c>
      <x:c r="G14" s="14" t="str">
        <x:v>yoğurt ve dövme | yoğurt ve buğday yarması | yoğurt ile dövme | yoğurt ile buğday yarması</x:v>
      </x:c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</x:row>
    <x:row r="15">
      <x:c r="A15" s="14" t="str">
        <x:v>PILOT-M1-D010</x:v>
      </x:c>
      <x:c r="B15" s="14" t="str">
        <x:v>M1</x:v>
      </x:c>
      <x:c r="C15" s="14" t="str">
        <x:f>IF(B15="M1",IF(B2="","",B2),IF(D2="","",D2))</x:f>
      </x:c>
      <x:c r="D15" s="14" t="str">
        <x:v>D010</x:v>
      </x:c>
      <x:c r="E15" s="14" t="str">
        <x:v>UNESCO tanımına göre çay geleneksel olarak hangi biçimdeki bardaklarda servis edilir?</x:v>
      </x:c>
      <x:c r="F15" s="14" t="str">
        <x:v>Armut biçimli bardak</x:v>
      </x:c>
      <x:c r="G15" s="14" t="str">
        <x:v>armut biçimli bardak | armut şeklinde bardak | armut biçimli bardaklar | armut şeklinde bardaklar</x:v>
      </x:c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</x:row>
    <x:row r="16">
      <x:c r="A16" s="14" t="str">
        <x:v>PILOT-M1-D011</x:v>
      </x:c>
      <x:c r="B16" s="14" t="str">
        <x:v>M1</x:v>
      </x:c>
      <x:c r="C16" s="14" t="str">
        <x:f>IF(B16="M1",IF(B2="","",B2),IF(D2="","",D2))</x:f>
      </x:c>
      <x:c r="D16" s="14" t="str">
        <x:v>D011</x:v>
      </x:c>
      <x:c r="E16" s="14" t="str">
        <x:v>UNESCO kaydına göre Türkiye'de düğünlerde yassı ekmek kimlere verilir?</x:v>
      </x:c>
      <x:c r="F16" s="14" t="str">
        <x:v>Çiftin komşularına</x:v>
      </x:c>
      <x:c r="G16" s="14" t="str">
        <x:v>çiftin komşularına | yeni evli çiftin komşularına | komşulara</x:v>
      </x:c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</x:row>
    <x:row r="17">
      <x:c r="A17" s="14" t="str">
        <x:v>PILOT-M1-D012</x:v>
      </x:c>
      <x:c r="B17" s="14" t="str">
        <x:v>M1</x:v>
      </x:c>
      <x:c r="C17" s="14" t="str">
        <x:f>IF(B17="M1",IF(B2="","",B2),IF(D2="","",D2))</x:f>
      </x:c>
      <x:c r="D17" s="14" t="str">
        <x:v>D012</x:v>
      </x:c>
      <x:c r="E17" s="14" t="str">
        <x:v>Törensel Keşkek geleneğinde buğday taşınırken hangi iki çalgı çalınır?</x:v>
      </x:c>
      <x:c r="F17" s="14" t="str">
        <x:v>Davul ve zurna</x:v>
      </x:c>
      <x:c r="G17" s="14" t="str">
        <x:v>davul ve zurna | zurna ve davul</x:v>
      </x:c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</x:row>
    <x:row r="18">
      <x:c r="A18" s="14" t="str">
        <x:v>PILOT-M1-D013</x:v>
      </x:c>
      <x:c r="B18" s="14" t="str">
        <x:v>M1</x:v>
      </x:c>
      <x:c r="C18" s="14" t="str">
        <x:f>IF(B18="M1",IF(B2="","",B2),IF(D2="","",D2))</x:f>
      </x:c>
      <x:c r="D18" s="14" t="str">
        <x:v>D013</x:v>
      </x:c>
      <x:c r="E18" s="14" t="str">
        <x:v>Kültür Portalına göre aşurenin temsil ettiği iki temel kavram nedir?</x:v>
      </x:c>
      <x:c r="F18" s="14" t="str">
        <x:v>Bolluk ve bereket</x:v>
      </x:c>
      <x:c r="G18" s="14" t="str">
        <x:v>bolluk ve bereket | bereket ve bolluk</x:v>
      </x:c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</x:row>
    <x:row r="19">
      <x:c r="A19" s="14" t="str">
        <x:v>PILOT-M1-D014</x:v>
      </x:c>
      <x:c r="B19" s="14" t="str">
        <x:v>M1</x:v>
      </x:c>
      <x:c r="C19" s="14" t="str">
        <x:f>IF(B19="M1",IF(B2="","",B2),IF(D2="","",D2))</x:f>
      </x:c>
      <x:c r="D19" s="14" t="str">
        <x:v>D014</x:v>
      </x:c>
      <x:c r="E19" s="14" t="str">
        <x:v>Tekirdağ'daki Herise geleneğinde düğün için hazırlanan yemekten özellikle hangi iki gruba gönderilir?</x:v>
      </x:c>
      <x:c r="F19" s="14" t="str">
        <x:v>Hasta ve yaşlılar</x:v>
      </x:c>
      <x:c r="G19" s="14" t="str">
        <x:v>hasta ve yaşlılar | yaşlı ve hastalar | hastalara ve yaşlılara | yaşlılara ve hastalara</x:v>
      </x:c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</x:row>
    <x:row r="20">
      <x:c r="A20" s="14" t="str">
        <x:v>PILOT-M1-D015</x:v>
      </x:c>
      <x:c r="B20" s="14" t="str">
        <x:v>M1</x:v>
      </x:c>
      <x:c r="C20" s="14" t="str">
        <x:f>IF(B20="M1",IF(B2="","",B2),IF(D2="","",D2))</x:f>
      </x:c>
      <x:c r="D20" s="14" t="str">
        <x:v>D015</x:v>
      </x:c>
      <x:c r="E20" s="14" t="str">
        <x:v>Tarsus Humusunda nohutların ezildiği geleneksel bakır kabın adı nedir?</x:v>
      </x:c>
      <x:c r="F20" s="14" t="str">
        <x:v>Humus Tası</x:v>
      </x:c>
      <x:c r="G20" s="14" t="str">
        <x:v>humus tası | humus tasi</x:v>
      </x:c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</x:row>
    <x:row r="21">
      <x:c r="A21" s="14" t="str">
        <x:v>PILOT-M1-D016</x:v>
      </x:c>
      <x:c r="B21" s="14" t="str">
        <x:v>M1</x:v>
      </x:c>
      <x:c r="C21" s="14" t="str">
        <x:f>IF(B21="M1",IF(B2="","",B2),IF(D2="","",D2))</x:f>
      </x:c>
      <x:c r="D21" s="14" t="str">
        <x:v>D016</x:v>
      </x:c>
      <x:c r="E21" s="14" t="str">
        <x:v>İzmir kültüründe lokmanın özel günlerde hazırlanarak halka ücretsiz dağıtılması geleneğine ne ad verilir?</x:v>
      </x:c>
      <x:c r="F21" s="14" t="str">
        <x:v>Lokma dökmek</x:v>
      </x:c>
      <x:c r="G21" s="14" t="str">
        <x:v>lokma dökmek | lokma döktürmek</x:v>
      </x:c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</x:row>
    <x:row r="22">
      <x:c r="A22" s="14" t="str">
        <x:v>PILOT-M1-D017</x:v>
      </x:c>
      <x:c r="B22" s="14" t="str">
        <x:v>M1</x:v>
      </x:c>
      <x:c r="C22" s="14" t="str">
        <x:f>IF(B22="M1",IF(B2="","",B2),IF(D2="","",D2))</x:f>
      </x:c>
      <x:c r="D22" s="14" t="str">
        <x:v>D017</x:v>
      </x:c>
      <x:c r="E22" s="14" t="str">
        <x:v>İzmir'in bazı yörelerinde Sura'nın üzerine sarılan yağlı zar tabakasına verilen geleneksel adlardan biri nedir?</x:v>
      </x:c>
      <x:c r="F22" s="14" t="str">
        <x:v>Gömlek</x:v>
      </x:c>
      <x:c r="G22" s="14" t="str">
        <x:v>gömlek | çember</x:v>
      </x:c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</x:row>
    <x:row r="23">
      <x:c r="A23" s="14" t="str">
        <x:v>PILOT-M1-D018</x:v>
      </x:c>
      <x:c r="B23" s="14" t="str">
        <x:v>M1</x:v>
      </x:c>
      <x:c r="C23" s="14" t="str">
        <x:f>IF(B23="M1",IF(B2="","",B2),IF(D2="","",D2))</x:f>
      </x:c>
      <x:c r="D23" s="14" t="str">
        <x:v>D018</x:v>
      </x:c>
      <x:c r="E23" s="14" t="str">
        <x:v>İzmir mutfağındaki cibez, Tire civarında hangi adla da bilinir?</x:v>
      </x:c>
      <x:c r="F23" s="14" t="str">
        <x:v>Cücük</x:v>
      </x:c>
      <x:c r="G23" s="14" t="str">
        <x:v>cücük</x:v>
      </x:c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</x:row>
    <x:row r="24">
      <x:c r="A24" s="14" t="str">
        <x:v>PILOT-M1-D019</x:v>
      </x:c>
      <x:c r="B24" s="14" t="str">
        <x:v>M1</x:v>
      </x:c>
      <x:c r="C24" s="14" t="str">
        <x:f>IF(B24="M1",IF(B2="","",B2),IF(D2="","",D2))</x:f>
      </x:c>
      <x:c r="D24" s="14" t="str">
        <x:v>D019</x:v>
      </x:c>
      <x:c r="E24" s="14" t="str">
        <x:v>Edirne mutfağındaki Kaçamak başka hangi adla bilinir?</x:v>
      </x:c>
      <x:c r="F24" s="14" t="str">
        <x:v>Mamaliga</x:v>
      </x:c>
      <x:c r="G24" s="14" t="str">
        <x:v>mamaliga</x:v>
      </x:c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</x:row>
    <x:row r="25">
      <x:c r="A25" s="14" t="str">
        <x:v>PILOT-M1-D020</x:v>
      </x:c>
      <x:c r="B25" s="14" t="str">
        <x:v>M1</x:v>
      </x:c>
      <x:c r="C25" s="14" t="str">
        <x:f>IF(B25="M1",IF(B2="","",B2),IF(D2="","",D2))</x:f>
      </x:c>
      <x:c r="D25" s="14" t="str">
        <x:v>D020</x:v>
      </x:c>
      <x:c r="E25" s="14" t="str">
        <x:v>Afyonkarahisar'da doğumdan sonra misafirlere ikram edilen sıra yemeklerine ne ad verilir?</x:v>
      </x:c>
      <x:c r="F25" s="14" t="str">
        <x:v>Takım</x:v>
      </x:c>
      <x:c r="G25" s="14" t="str">
        <x:v>takım</x:v>
      </x:c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</x:row>
    <x:row r="26">
      <x:c r="A26" s="14" t="str">
        <x:v>PILOT-M1-D021</x:v>
      </x:c>
      <x:c r="B26" s="14" t="str">
        <x:v>M1</x:v>
      </x:c>
      <x:c r="C26" s="14" t="str">
        <x:f>IF(B26="M1",IF(B2="","",B2),IF(D2="","",D2))</x:f>
      </x:c>
      <x:c r="D26" s="14" t="str">
        <x:v>D021</x:v>
      </x:c>
      <x:c r="E26" s="14" t="str">
        <x:v>Afyonkarahisar'da nişan töreninin ertesi günü yapılan geleneksel yemekli davetin adı nedir?</x:v>
      </x:c>
      <x:c r="F26" s="14" t="str">
        <x:v>Zinardı daveti</x:v>
      </x:c>
      <x:c r="G26" s="14" t="str">
        <x:v>zinardı daveti | zinardı | sini ardı daveti | sini ardı</x:v>
      </x:c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</x:row>
    <x:row r="27">
      <x:c r="A27" s="14" t="str">
        <x:v>PILOT-M1-D022</x:v>
      </x:c>
      <x:c r="B27" s="14" t="str">
        <x:v>M1</x:v>
      </x:c>
      <x:c r="C27" s="14" t="str">
        <x:f>IF(B27="M1",IF(B2="","",B2),IF(D2="","",D2))</x:f>
      </x:c>
      <x:c r="D27" s="14" t="str">
        <x:v>D022</x:v>
      </x:c>
      <x:c r="E27" s="14" t="str">
        <x:v>Afyon mutfak kültüründe yer alan sıra yemeğinde, yemeklerin sofraya geliş sırasını düzenleme işine ne ad verilir?</x:v>
      </x:c>
      <x:c r="F27" s="14" t="str">
        <x:v>Yemek kurtarma</x:v>
      </x:c>
      <x:c r="G27" s="14" t="str">
        <x:v>yemek kurtarma</x:v>
      </x:c>
      <x:c r="H27" s="26" t="str"/>
      <x:c r="I27" s="26" t="str"/>
      <x:c r="J27" s="26" t="str"/>
      <x:c r="K27" s="26" t="str"/>
      <x:c r="L27" s="26" t="str"/>
      <x:c r="M27" s="26" t="str"/>
      <x:c r="N27" s="26" t="str"/>
      <x:c r="O27" s="26" t="str"/>
      <x:c r="P27" s="26" t="str"/>
    </x:row>
    <x:row r="28">
      <x:c r="A28" s="14" t="str">
        <x:v>PILOT-M1-D023</x:v>
      </x:c>
      <x:c r="B28" s="14" t="str">
        <x:v>M1</x:v>
      </x:c>
      <x:c r="C28" s="14" t="str">
        <x:f>IF(B28="M1",IF(B2="","",B2),IF(D2="","",D2))</x:f>
      </x:c>
      <x:c r="D28" s="14" t="str">
        <x:v>D023</x:v>
      </x:c>
      <x:c r="E28" s="14" t="str">
        <x:v>Kuru Antep Baklavasında raf ömrünü uzatmak amacıyla kullanılmayan bileşen nedir?</x:v>
      </x:c>
      <x:c r="F28" s="14" t="str">
        <x:v>Kaymak</x:v>
      </x:c>
      <x:c r="G28" s="14" t="str">
        <x:v>kaymak</x:v>
      </x:c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/>
      <x:c r="P28" s="26" t="str"/>
    </x:row>
    <x:row r="29">
      <x:c r="A29" s="14" t="str">
        <x:v>PILOT-M1-D024</x:v>
      </x:c>
      <x:c r="B29" s="14" t="str">
        <x:v>M1</x:v>
      </x:c>
      <x:c r="C29" s="14" t="str">
        <x:f>IF(B29="M1",IF(B2="","",B2),IF(D2="","",D2))</x:f>
      </x:c>
      <x:c r="D29" s="14" t="str">
        <x:v>D024</x:v>
      </x:c>
      <x:c r="E29" s="14" t="str">
        <x:v>Maraş Tarhanası üretiminde yoğurt, dövmeye hangi aşamada eklenir?</x:v>
      </x:c>
      <x:c r="F29" s="14" t="str">
        <x:v>Pişirme ve soğutma sonrasında</x:v>
      </x:c>
      <x:c r="G29" s="14" t="str">
        <x:v>pişirme ve soğutma sonrasında | pişirmeden ve soğutmadan sonra | dövme pişirilip soğutulduktan sonra | pişmiş dövme soğutulduktan sonra</x:v>
      </x:c>
      <x:c r="H29" s="26" t="str"/>
      <x:c r="I29" s="26" t="str"/>
      <x:c r="J29" s="26" t="str"/>
      <x:c r="K29" s="26" t="str"/>
      <x:c r="L29" s="26" t="str"/>
      <x:c r="M29" s="26" t="str"/>
      <x:c r="N29" s="26" t="str"/>
      <x:c r="O29" s="26" t="str"/>
      <x:c r="P29" s="26" t="str"/>
    </x:row>
    <x:row r="30">
      <x:c r="A30" s="14" t="str">
        <x:v>PILOT-M1-D025</x:v>
      </x:c>
      <x:c r="B30" s="14" t="str">
        <x:v>M1</x:v>
      </x:c>
      <x:c r="C30" s="14" t="str">
        <x:f>IF(B30="M1",IF(B2="","",B2),IF(D2="","",D2))</x:f>
      </x:c>
      <x:c r="D30" s="14" t="str">
        <x:v>D025</x:v>
      </x:c>
      <x:c r="E30" s="14" t="str">
        <x:v>Afyon Sucuğu hamuru hangi tür bağırsağa doldurulur?</x:v>
      </x:c>
      <x:c r="F30" s="14" t="str">
        <x:v>Sığır bağırsağı</x:v>
      </x:c>
      <x:c r="G30" s="14" t="str">
        <x:v>sığır bağırsağı | sığır bağırsağına</x:v>
      </x:c>
      <x:c r="H30" s="26" t="str"/>
      <x:c r="I30" s="26" t="str"/>
      <x:c r="J30" s="26" t="str"/>
      <x:c r="K30" s="26" t="str"/>
      <x:c r="L30" s="26" t="str"/>
      <x:c r="M30" s="26" t="str"/>
      <x:c r="N30" s="26" t="str"/>
      <x:c r="O30" s="26" t="str"/>
      <x:c r="P30" s="26" t="str"/>
    </x:row>
    <x:row r="31">
      <x:c r="A31" s="14" t="str">
        <x:v>PILOT-M1-D026</x:v>
      </x:c>
      <x:c r="B31" s="14" t="str">
        <x:v>M1</x:v>
      </x:c>
      <x:c r="C31" s="14" t="str">
        <x:f>IF(B31="M1",IF(B2="","",B2),IF(D2="","",D2))</x:f>
      </x:c>
      <x:c r="D31" s="14" t="str">
        <x:v>D026</x:v>
      </x:c>
      <x:c r="E31" s="14" t="str">
        <x:v>Malatya Kâğıt Kebabının taş fırını geleneksel olarak hangi odunla ısıtılır?</x:v>
      </x:c>
      <x:c r="F31" s="14" t="str">
        <x:v>Meşe odunu</x:v>
      </x:c>
      <x:c r="G31" s="14" t="str">
        <x:v>meşe odunu | meşe</x:v>
      </x:c>
      <x:c r="H31" s="26" t="str"/>
      <x:c r="I31" s="26" t="str"/>
      <x:c r="J31" s="26" t="str"/>
      <x:c r="K31" s="26" t="str"/>
      <x:c r="L31" s="26" t="str"/>
      <x:c r="M31" s="26" t="str"/>
      <x:c r="N31" s="26" t="str"/>
      <x:c r="O31" s="26" t="str"/>
      <x:c r="P31" s="26" t="str"/>
    </x:row>
    <x:row r="32">
      <x:c r="A32" s="14" t="str">
        <x:v>PILOT-M1-D027</x:v>
      </x:c>
      <x:c r="B32" s="14" t="str">
        <x:v>M1</x:v>
      </x:c>
      <x:c r="C32" s="14" t="str">
        <x:f>IF(B32="M1",IF(B2="","",B2),IF(D2="","",D2))</x:f>
      </x:c>
      <x:c r="D32" s="14" t="str">
        <x:v>D027</x:v>
      </x:c>
      <x:c r="E32" s="14" t="str">
        <x:v>Ordu Tostu için üretilen özel ekmek geleneksel olarak hangi yakıtla pişirilir?</x:v>
      </x:c>
      <x:c r="F32" s="14" t="str">
        <x:v>Fındık kabuğu</x:v>
      </x:c>
      <x:c r="G32" s="14" t="str">
        <x:v>fındık kabuğu | fındık kabuğu ateşi | fındık kabuğu ateşinde</x:v>
      </x:c>
      <x:c r="H32" s="26" t="str"/>
      <x:c r="I32" s="26" t="str"/>
      <x:c r="J32" s="26" t="str"/>
      <x:c r="K32" s="26" t="str"/>
      <x:c r="L32" s="26" t="str"/>
      <x:c r="M32" s="26" t="str"/>
      <x:c r="N32" s="26" t="str"/>
      <x:c r="O32" s="26" t="str"/>
      <x:c r="P32" s="26" t="str"/>
    </x:row>
    <x:row r="33">
      <x:c r="A33" s="14" t="str">
        <x:v>PILOT-M1-D028</x:v>
      </x:c>
      <x:c r="B33" s="14" t="str">
        <x:v>M1</x:v>
      </x:c>
      <x:c r="C33" s="14" t="str">
        <x:f>IF(B33="M1",IF(B2="","",B2),IF(D2="","",D2))</x:f>
      </x:c>
      <x:c r="D33" s="14" t="str">
        <x:v>D028</x:v>
      </x:c>
      <x:c r="E33" s="14" t="str">
        <x:v>Tekirdağ Bulamasında köpük oluşturmak amacıyla kullanılan geleneksel bitkisel bileşen nedir?</x:v>
      </x:c>
      <x:c r="F33" s="14" t="str">
        <x:v>Çöven</x:v>
      </x:c>
      <x:c r="G33" s="14" t="str">
        <x:v>çöven | çöğen</x:v>
      </x:c>
      <x:c r="H33" s="26" t="str"/>
      <x:c r="I33" s="26" t="str"/>
      <x:c r="J33" s="26" t="str"/>
      <x:c r="K33" s="26" t="str"/>
      <x:c r="L33" s="26" t="str"/>
      <x:c r="M33" s="26" t="str"/>
      <x:c r="N33" s="26" t="str"/>
      <x:c r="O33" s="26" t="str"/>
      <x:c r="P33" s="26" t="str"/>
    </x:row>
    <x:row r="34">
      <x:c r="A34" s="14" t="str">
        <x:v>PILOT-M1-D029</x:v>
      </x:c>
      <x:c r="B34" s="14" t="str">
        <x:v>M1</x:v>
      </x:c>
      <x:c r="C34" s="14" t="str">
        <x:f>IF(B34="M1",IF(B2="","",B2),IF(D2="","",D2))</x:f>
      </x:c>
      <x:c r="D34" s="14" t="str">
        <x:v>D029</x:v>
      </x:c>
      <x:c r="E34" s="14" t="str">
        <x:v>Türk kahvesi içildikten sonra fincanda kalan telve geleneksel olarak hangi uygulamada kullanılır?</x:v>
      </x:c>
      <x:c r="F34" s="14" t="str">
        <x:v>Fal bakmak</x:v>
      </x:c>
      <x:c r="G34" s="14" t="str">
        <x:v>fal bakmak | kahve falı | kahve falı bakmak | falcılık</x:v>
      </x:c>
      <x:c r="H34" s="26" t="str"/>
      <x:c r="I34" s="26" t="str"/>
      <x:c r="J34" s="26" t="str"/>
      <x:c r="K34" s="26" t="str"/>
      <x:c r="L34" s="26" t="str"/>
      <x:c r="M34" s="26" t="str"/>
      <x:c r="N34" s="26" t="str"/>
      <x:c r="O34" s="26" t="str"/>
      <x:c r="P34" s="26" t="str"/>
    </x:row>
    <x:row r="35">
      <x:c r="A35" s="14" t="str">
        <x:v>PILOT-M1-D030</x:v>
      </x:c>
      <x:c r="B35" s="14" t="str">
        <x:v>M1</x:v>
      </x:c>
      <x:c r="C35" s="14" t="str">
        <x:f>IF(B35="M1",IF(B2="","",B2),IF(D2="","",D2))</x:f>
      </x:c>
      <x:c r="D35" s="14" t="str">
        <x:v>D030</x:v>
      </x:c>
      <x:c r="E35" s="14" t="str">
        <x:v>Türkiye ile birlikte Çay Kültürü unsurunu UNESCO'ya ortak kaydettiren ülke hangisidir?</x:v>
      </x:c>
      <x:c r="F35" s="14" t="str">
        <x:v>Azerbaycan</x:v>
      </x:c>
      <x:c r="G35" s="14" t="str">
        <x:v>azerbaycan | azerbaijan</x:v>
      </x:c>
      <x:c r="H35" s="26" t="str"/>
      <x:c r="I35" s="26" t="str"/>
      <x:c r="J35" s="26" t="str"/>
      <x:c r="K35" s="26" t="str"/>
      <x:c r="L35" s="26" t="str"/>
      <x:c r="M35" s="26" t="str"/>
      <x:c r="N35" s="26" t="str"/>
      <x:c r="O35" s="26" t="str"/>
      <x:c r="P35" s="26" t="str"/>
    </x:row>
    <x:row r="36">
      <x:c r="A36" s="14" t="str">
        <x:v>PILOT-M1-D031</x:v>
      </x:c>
      <x:c r="B36" s="14" t="str">
        <x:v>M1</x:v>
      </x:c>
      <x:c r="C36" s="14" t="str">
        <x:f>IF(B36="M1",IF(B2="","",B2),IF(D2="","",D2))</x:f>
      </x:c>
      <x:c r="D36" s="14" t="str">
        <x:v>D031</x:v>
      </x:c>
      <x:c r="E36" s="14" t="str">
        <x:v>Geleneksel yassı ekmek yapımı aile dışında hangi öğrenme ilişkisiyle aktarılır?</x:v>
      </x:c>
      <x:c r="F36" s="14" t="str">
        <x:v>Usta-çırak</x:v>
      </x:c>
      <x:c r="G36" s="14" t="str">
        <x:v>usta-çırak | usta çırak | ustadan çırağa | usta-çırak ilişkisi</x:v>
      </x:c>
      <x:c r="H36" s="26" t="str"/>
      <x:c r="I36" s="26" t="str"/>
      <x:c r="J36" s="26" t="str"/>
      <x:c r="K36" s="26" t="str"/>
      <x:c r="L36" s="26" t="str"/>
      <x:c r="M36" s="26" t="str"/>
      <x:c r="N36" s="26" t="str"/>
      <x:c r="O36" s="26" t="str"/>
      <x:c r="P36" s="26" t="str"/>
    </x:row>
    <x:row r="37">
      <x:c r="A37" s="14" t="str">
        <x:v>PILOT-M1-D032</x:v>
      </x:c>
      <x:c r="B37" s="14" t="str">
        <x:v>M1</x:v>
      </x:c>
      <x:c r="C37" s="14" t="str">
        <x:f>IF(B37="M1",IF(B2="","",B2),IF(D2="","",D2))</x:f>
      </x:c>
      <x:c r="D37" s="14" t="str">
        <x:v>D032</x:v>
      </x:c>
      <x:c r="E37" s="14" t="str">
        <x:v>Törensel Keşkek geleneğinde buğday, törenden önceki gün hangi uygulama eşliğinde yıkanır?</x:v>
      </x:c>
      <x:c r="F37" s="14" t="str">
        <x:v>Dua</x:v>
      </x:c>
      <x:c r="G37" s="14" t="str">
        <x:v>dua | dualar | dua ederek | dualarla</x:v>
      </x:c>
      <x:c r="H37" s="26" t="str"/>
      <x:c r="I37" s="26" t="str"/>
      <x:c r="J37" s="26" t="str"/>
      <x:c r="K37" s="26" t="str"/>
      <x:c r="L37" s="26" t="str"/>
      <x:c r="M37" s="26" t="str"/>
      <x:c r="N37" s="26" t="str"/>
      <x:c r="O37" s="26" t="str"/>
      <x:c r="P37" s="26" t="str"/>
    </x:row>
    <x:row r="38">
      <x:c r="A38" s="14" t="str">
        <x:v>PILOT-M1-D033</x:v>
      </x:c>
      <x:c r="B38" s="14" t="str">
        <x:v>M1</x:v>
      </x:c>
      <x:c r="C38" s="14" t="str">
        <x:f>IF(B38="M1",IF(B2="","",B2),IF(D2="","",D2))</x:f>
      </x:c>
      <x:c r="D38" s="14" t="str">
        <x:v>D033</x:v>
      </x:c>
      <x:c r="E38" s="14" t="str">
        <x:v>Mesir Macunu Festivali tarihsel olarak kimin iyileşmesini anar?</x:v>
      </x:c>
      <x:c r="F38" s="14" t="str">
        <x:v>Hafsa Sultan</x:v>
      </x:c>
      <x:c r="G38" s="14" t="str">
        <x:v>hafsa sultan | ayşe hafsa sultan</x:v>
      </x:c>
      <x:c r="H38" s="26" t="str"/>
      <x:c r="I38" s="26" t="str"/>
      <x:c r="J38" s="26" t="str"/>
      <x:c r="K38" s="26" t="str"/>
      <x:c r="L38" s="26" t="str"/>
      <x:c r="M38" s="26" t="str"/>
      <x:c r="N38" s="26" t="str"/>
      <x:c r="O38" s="26" t="str"/>
      <x:c r="P38" s="26" t="str"/>
    </x:row>
    <x:row r="39">
      <x:c r="A39" s="14" t="str">
        <x:v>PILOT-M1-D034</x:v>
      </x:c>
      <x:c r="B39" s="14" t="str">
        <x:v>M1</x:v>
      </x:c>
      <x:c r="C39" s="14" t="str">
        <x:f>IF(B39="M1",IF(B2="","",B2),IF(D2="","",D2))</x:f>
      </x:c>
      <x:c r="D39" s="14" t="str">
        <x:v>D034</x:v>
      </x:c>
      <x:c r="E39" s="14" t="str">
        <x:v>Türkiye'de güllaç geleneksel olarak hangi ayla özdeşleşir?</x:v>
      </x:c>
      <x:c r="F39" s="14" t="str">
        <x:v>Ramazan</x:v>
      </x:c>
      <x:c r="G39" s="14" t="str">
        <x:v>ramazan | ramazan ayı</x:v>
      </x:c>
      <x:c r="H39" s="26" t="str"/>
      <x:c r="I39" s="26" t="str"/>
      <x:c r="J39" s="26" t="str"/>
      <x:c r="K39" s="26" t="str"/>
      <x:c r="L39" s="26" t="str"/>
      <x:c r="M39" s="26" t="str"/>
      <x:c r="N39" s="26" t="str"/>
      <x:c r="O39" s="26" t="str"/>
      <x:c r="P39" s="26" t="str"/>
    </x:row>
    <x:row r="40">
      <x:c r="A40" s="14" t="str">
        <x:v>PILOT-M1-D035</x:v>
      </x:c>
      <x:c r="B40" s="14" t="str">
        <x:v>M1</x:v>
      </x:c>
      <x:c r="C40" s="14" t="str">
        <x:f>IF(B40="M1",IF(B2="","",B2),IF(D2="","",D2))</x:f>
      </x:c>
      <x:c r="D40" s="14" t="str">
        <x:v>D035</x:v>
      </x:c>
      <x:c r="E40" s="14" t="str">
        <x:v>Afyon Sucuğunda manda etinin asgari oranı yüzde kaçtır?</x:v>
      </x:c>
      <x:c r="F40" s="14" t="str">
        <x:v>En az %15</x:v>
      </x:c>
      <x:c r="G40" s="14" t="str">
        <x:v>15 | %15 | yüzde 15 | en az %15 | en az yüzde 15</x:v>
      </x:c>
      <x:c r="H40" s="26" t="str"/>
      <x:c r="I40" s="26" t="str"/>
      <x:c r="J40" s="26" t="str"/>
      <x:c r="K40" s="26" t="str"/>
      <x:c r="L40" s="26" t="str"/>
      <x:c r="M40" s="26" t="str"/>
      <x:c r="N40" s="26" t="str"/>
      <x:c r="O40" s="26" t="str"/>
      <x:c r="P40" s="26" t="str"/>
    </x:row>
    <x:row r="41">
      <x:c r="A41" s="14" t="str">
        <x:v>PILOT-M1-D036</x:v>
      </x:c>
      <x:c r="B41" s="14" t="str">
        <x:v>M1</x:v>
      </x:c>
      <x:c r="C41" s="14" t="str">
        <x:f>IF(B41="M1",IF(B2="","",B2),IF(D2="","",D2))</x:f>
      </x:c>
      <x:c r="D41" s="14" t="str">
        <x:v>D036</x:v>
      </x:c>
      <x:c r="E41" s="14" t="str">
        <x:v>Törensel Keşkek hazırlığında buğday taş havanda kaç kişi tarafından dövülür?</x:v>
      </x:c>
      <x:c r="F41" s="14" t="str">
        <x:v>2–4 kişi</x:v>
      </x:c>
      <x:c r="G41" s="14" t="str">
        <x:v>2-4 | 2–4 | 2 ila 4 | iki ila dört | iki-dört kişi</x:v>
      </x:c>
      <x:c r="H41" s="26" t="str"/>
      <x:c r="I41" s="26" t="str"/>
      <x:c r="J41" s="26" t="str"/>
      <x:c r="K41" s="26" t="str"/>
      <x:c r="L41" s="26" t="str"/>
      <x:c r="M41" s="26" t="str"/>
      <x:c r="N41" s="26" t="str"/>
      <x:c r="O41" s="26" t="str"/>
      <x:c r="P41" s="26" t="str"/>
    </x:row>
    <x:row r="42">
      <x:c r="A42" s="14" t="str">
        <x:v>PILOT-M2-D001</x:v>
      </x:c>
      <x:c r="B42" s="14" t="str">
        <x:v>M2</x:v>
      </x:c>
      <x:c r="C42" s="14" t="str">
        <x:f>IF(B42="M1",IF(B2="","",B2),IF(D2="","",D2))</x:f>
      </x:c>
      <x:c r="D42" s="14" t="str">
        <x:v>D001</x:v>
      </x:c>
      <x:c r="E42" s="14" t="str">
        <x:v>Adana Kebabı için et geleneksel olarak hangi araçla kıyılır?</x:v>
      </x:c>
      <x:c r="F42" s="14" t="str">
        <x:v>Zırh</x:v>
      </x:c>
      <x:c r="G42" s="14" t="str">
        <x:v>zırh</x:v>
      </x:c>
      <x:c r="H42" s="26" t="str"/>
      <x:c r="I42" s="26" t="str"/>
      <x:c r="J42" s="26" t="str"/>
      <x:c r="K42" s="26" t="str"/>
      <x:c r="L42" s="26" t="str"/>
      <x:c r="M42" s="26" t="str"/>
      <x:c r="N42" s="26" t="str"/>
      <x:c r="O42" s="26" t="str"/>
      <x:c r="P42" s="26" t="str"/>
    </x:row>
    <x:row r="43">
      <x:c r="A43" s="14" t="str">
        <x:v>PILOT-M2-D002</x:v>
      </x:c>
      <x:c r="B43" s="14" t="str">
        <x:v>M2</x:v>
      </x:c>
      <x:c r="C43" s="14" t="str">
        <x:f>IF(B43="M1",IF(B2="","",B2),IF(D2="","",D2))</x:f>
      </x:c>
      <x:c r="D43" s="14" t="str">
        <x:v>D002</x:v>
      </x:c>
      <x:c r="E43" s="14" t="str">
        <x:v>Maraş Tarhanasının kurutulmak üzere serildiği geleneksel hasır örtüye ne ad verilir?</x:v>
      </x:c>
      <x:c r="F43" s="14" t="str">
        <x:v>Çığ</x:v>
      </x:c>
      <x:c r="G43" s="14" t="str">
        <x:v>çığ</x:v>
      </x:c>
      <x:c r="H43" s="26" t="str"/>
      <x:c r="I43" s="26" t="str"/>
      <x:c r="J43" s="26" t="str"/>
      <x:c r="K43" s="26" t="str"/>
      <x:c r="L43" s="26" t="str"/>
      <x:c r="M43" s="26" t="str"/>
      <x:c r="N43" s="26" t="str"/>
      <x:c r="O43" s="26" t="str"/>
      <x:c r="P43" s="26" t="str"/>
    </x:row>
    <x:row r="44">
      <x:c r="A44" s="14" t="str">
        <x:v>PILOT-M2-D003</x:v>
      </x:c>
      <x:c r="B44" s="14" t="str">
        <x:v>M2</x:v>
      </x:c>
      <x:c r="C44" s="14" t="str">
        <x:f>IF(B44="M1",IF(B2="","",B2),IF(D2="","",D2))</x:f>
      </x:c>
      <x:c r="D44" s="14" t="str">
        <x:v>D003</x:v>
      </x:c>
      <x:c r="E44" s="14" t="str">
        <x:v>UNESCO tanımına göre Türk kahvesi hazırlanırken öğütülmüş kahveye başlangıçta hangi sıcaklıktaki su eklenir?</x:v>
      </x:c>
      <x:c r="F44" s="14" t="str">
        <x:v>Soğuk</x:v>
      </x:c>
      <x:c r="G44" s="14" t="str">
        <x:v>soğuk | soğuk su</x:v>
      </x:c>
      <x:c r="H44" s="26" t="str"/>
      <x:c r="I44" s="26" t="str"/>
      <x:c r="J44" s="26" t="str"/>
      <x:c r="K44" s="26" t="str"/>
      <x:c r="L44" s="26" t="str"/>
      <x:c r="M44" s="26" t="str"/>
      <x:c r="N44" s="26" t="str"/>
      <x:c r="O44" s="26" t="str"/>
      <x:c r="P44" s="26" t="str"/>
    </x:row>
    <x:row r="45">
      <x:c r="A45" s="14" t="str">
        <x:v>PILOT-M2-D004</x:v>
      </x:c>
      <x:c r="B45" s="14" t="str">
        <x:v>M2</x:v>
      </x:c>
      <x:c r="C45" s="14" t="str">
        <x:f>IF(B45="M1",IF(B2="","",B2),IF(D2="","",D2))</x:f>
      </x:c>
      <x:c r="D45" s="14" t="str">
        <x:v>D004</x:v>
      </x:c>
      <x:c r="E45" s="14" t="str">
        <x:v>UNESCO'ya göre Türk kahvesine geleneksel olarak hangi içecek eşlik eder?</x:v>
      </x:c>
      <x:c r="F45" s="14" t="str">
        <x:v>Su</x:v>
      </x:c>
      <x:c r="G45" s="14" t="str">
        <x:v>su | bir bardak su</x:v>
      </x:c>
      <x:c r="H45" s="26" t="str"/>
      <x:c r="I45" s="26" t="str"/>
      <x:c r="J45" s="26" t="str"/>
      <x:c r="K45" s="26" t="str"/>
      <x:c r="L45" s="26" t="str"/>
      <x:c r="M45" s="26" t="str"/>
      <x:c r="N45" s="26" t="str"/>
      <x:c r="O45" s="26" t="str"/>
      <x:c r="P45" s="26" t="str"/>
    </x:row>
    <x:row r="46">
      <x:c r="A46" s="14" t="str">
        <x:v>PILOT-M2-D005</x:v>
      </x:c>
      <x:c r="B46" s="14" t="str">
        <x:v>M2</x:v>
      </x:c>
      <x:c r="C46" s="14" t="str">
        <x:f>IF(B46="M1",IF(B2="","",B2),IF(D2="","",D2))</x:f>
      </x:c>
      <x:c r="D46" s="14" t="str">
        <x:v>D005</x:v>
      </x:c>
      <x:c r="E46" s="14" t="str">
        <x:v>Antalya Piyazını diğer piyazlardan ayıran karakteristik sos nedir?</x:v>
      </x:c>
      <x:c r="F46" s="14" t="str">
        <x:v>Tarator</x:v>
      </x:c>
      <x:c r="G46" s="14" t="str">
        <x:v>tarator | tarator sosu</x:v>
      </x:c>
      <x:c r="H46" s="26" t="str"/>
      <x:c r="I46" s="26" t="str"/>
      <x:c r="J46" s="26" t="str"/>
      <x:c r="K46" s="26" t="str"/>
      <x:c r="L46" s="26" t="str"/>
      <x:c r="M46" s="26" t="str"/>
      <x:c r="N46" s="26" t="str"/>
      <x:c r="O46" s="26" t="str"/>
      <x:c r="P46" s="26" t="str"/>
    </x:row>
    <x:row r="47">
      <x:c r="A47" s="14" t="str">
        <x:v>PILOT-M2-D006</x:v>
      </x:c>
      <x:c r="B47" s="14" t="str">
        <x:v>M2</x:v>
      </x:c>
      <x:c r="C47" s="14" t="str">
        <x:f>IF(B47="M1",IF(B2="","",B2),IF(D2="","",D2))</x:f>
      </x:c>
      <x:c r="D47" s="14" t="str">
        <x:v>D006</x:v>
      </x:c>
      <x:c r="E47" s="14" t="str">
        <x:v>Tarsus Humusunda pişmiş nohut geleneksel olarak hangi araçla ezilir?</x:v>
      </x:c>
      <x:c r="F47" s="14" t="str">
        <x:v>Tokmak</x:v>
      </x:c>
      <x:c r="G47" s="14" t="str">
        <x:v>tokmak</x:v>
      </x:c>
      <x:c r="H47" s="26" t="str"/>
      <x:c r="I47" s="26" t="str"/>
      <x:c r="J47" s="26" t="str"/>
      <x:c r="K47" s="26" t="str"/>
      <x:c r="L47" s="26" t="str"/>
      <x:c r="M47" s="26" t="str"/>
      <x:c r="N47" s="26" t="str"/>
      <x:c r="O47" s="26" t="str"/>
      <x:c r="P47" s="26" t="str"/>
    </x:row>
    <x:row r="48">
      <x:c r="A48" s="14" t="str">
        <x:v>PILOT-M2-D007</x:v>
      </x:c>
      <x:c r="B48" s="14" t="str">
        <x:v>M2</x:v>
      </x:c>
      <x:c r="C48" s="14" t="str">
        <x:f>IF(B48="M1",IF(B2="","",B2),IF(D2="","",D2))</x:f>
      </x:c>
      <x:c r="D48" s="14" t="str">
        <x:v>D007</x:v>
      </x:c>
      <x:c r="E48" s="14" t="str">
        <x:v>Erzincan Kesme Kadayıfında yufka katlarının arasına hangi kuruyemiş konur?</x:v>
      </x:c>
      <x:c r="F48" s="14" t="str">
        <x:v>Ceviz</x:v>
      </x:c>
      <x:c r="G48" s="14" t="str">
        <x:v>ceviz | ceviz içi</x:v>
      </x:c>
      <x:c r="H48" s="26" t="str"/>
      <x:c r="I48" s="26" t="str"/>
      <x:c r="J48" s="26" t="str"/>
      <x:c r="K48" s="26" t="str"/>
      <x:c r="L48" s="26" t="str"/>
      <x:c r="M48" s="26" t="str"/>
      <x:c r="N48" s="26" t="str"/>
      <x:c r="O48" s="26" t="str"/>
      <x:c r="P48" s="26" t="str"/>
    </x:row>
    <x:row r="49">
      <x:c r="A49" s="14" t="str">
        <x:v>PILOT-M2-D008</x:v>
      </x:c>
      <x:c r="B49" s="14" t="str">
        <x:v>M2</x:v>
      </x:c>
      <x:c r="C49" s="14" t="str">
        <x:f>IF(B49="M1",IF(B2="","",B2),IF(D2="","",D2))</x:f>
      </x:c>
      <x:c r="D49" s="14" t="str">
        <x:v>D008</x:v>
      </x:c>
      <x:c r="E49" s="14" t="str">
        <x:v>Diyarbakır Kaburga Dolmasının pirinçli iç harcında hangi kuruyemiş kullanılır?</x:v>
      </x:c>
      <x:c r="F49" s="14" t="str">
        <x:v>Badem</x:v>
      </x:c>
      <x:c r="G49" s="14" t="str">
        <x:v>badem | badem içi</x:v>
      </x:c>
      <x:c r="H49" s="26" t="str"/>
      <x:c r="I49" s="26" t="str"/>
      <x:c r="J49" s="26" t="str"/>
      <x:c r="K49" s="26" t="str"/>
      <x:c r="L49" s="26" t="str"/>
      <x:c r="M49" s="26" t="str"/>
      <x:c r="N49" s="26" t="str"/>
      <x:c r="O49" s="26" t="str"/>
      <x:c r="P49" s="26" t="str"/>
    </x:row>
    <x:row r="50">
      <x:c r="A50" s="14" t="str">
        <x:v>PILOT-M2-D009</x:v>
      </x:c>
      <x:c r="B50" s="14" t="str">
        <x:v>M2</x:v>
      </x:c>
      <x:c r="C50" s="14" t="str">
        <x:f>IF(B50="M1",IF(B2="","",B2),IF(D2="","",D2))</x:f>
      </x:c>
      <x:c r="D50" s="14" t="str">
        <x:v>D009</x:v>
      </x:c>
      <x:c r="E50" s="14" t="str">
        <x:v>Maraş Tarhanasının iki temel bileşeni nedir?</x:v>
      </x:c>
      <x:c r="F50" s="14" t="str">
        <x:v>Yoğurt ve dövme</x:v>
      </x:c>
      <x:c r="G50" s="14" t="str">
        <x:v>yoğurt ve dövme | yoğurt ve buğday yarması | yoğurt ile dövme | yoğurt ile buğday yarması</x:v>
      </x:c>
      <x:c r="H50" s="26" t="str"/>
      <x:c r="I50" s="26" t="str"/>
      <x:c r="J50" s="26" t="str"/>
      <x:c r="K50" s="26" t="str"/>
      <x:c r="L50" s="26" t="str"/>
      <x:c r="M50" s="26" t="str"/>
      <x:c r="N50" s="26" t="str"/>
      <x:c r="O50" s="26" t="str"/>
      <x:c r="P50" s="26" t="str"/>
    </x:row>
    <x:row r="51">
      <x:c r="A51" s="14" t="str">
        <x:v>PILOT-M2-D010</x:v>
      </x:c>
      <x:c r="B51" s="14" t="str">
        <x:v>M2</x:v>
      </x:c>
      <x:c r="C51" s="14" t="str">
        <x:f>IF(B51="M1",IF(B2="","",B2),IF(D2="","",D2))</x:f>
      </x:c>
      <x:c r="D51" s="14" t="str">
        <x:v>D010</x:v>
      </x:c>
      <x:c r="E51" s="14" t="str">
        <x:v>UNESCO tanımına göre çay geleneksel olarak hangi biçimdeki bardaklarda servis edilir?</x:v>
      </x:c>
      <x:c r="F51" s="14" t="str">
        <x:v>Armut biçimli bardak</x:v>
      </x:c>
      <x:c r="G51" s="14" t="str">
        <x:v>armut biçimli bardak | armut şeklinde bardak | armut biçimli bardaklar | armut şeklinde bardaklar</x:v>
      </x:c>
      <x:c r="H51" s="26" t="str"/>
      <x:c r="I51" s="26" t="str"/>
      <x:c r="J51" s="26" t="str"/>
      <x:c r="K51" s="26" t="str"/>
      <x:c r="L51" s="26" t="str"/>
      <x:c r="M51" s="26" t="str"/>
      <x:c r="N51" s="26" t="str"/>
      <x:c r="O51" s="26" t="str"/>
      <x:c r="P51" s="26" t="str"/>
    </x:row>
    <x:row r="52">
      <x:c r="A52" s="14" t="str">
        <x:v>PILOT-M2-D011</x:v>
      </x:c>
      <x:c r="B52" s="14" t="str">
        <x:v>M2</x:v>
      </x:c>
      <x:c r="C52" s="14" t="str">
        <x:f>IF(B52="M1",IF(B2="","",B2),IF(D2="","",D2))</x:f>
      </x:c>
      <x:c r="D52" s="14" t="str">
        <x:v>D011</x:v>
      </x:c>
      <x:c r="E52" s="14" t="str">
        <x:v>UNESCO kaydına göre Türkiye'de düğünlerde yassı ekmek kimlere verilir?</x:v>
      </x:c>
      <x:c r="F52" s="14" t="str">
        <x:v>Çiftin komşularına</x:v>
      </x:c>
      <x:c r="G52" s="14" t="str">
        <x:v>çiftin komşularına | yeni evli çiftin komşularına | komşulara</x:v>
      </x:c>
      <x:c r="H52" s="26" t="str"/>
      <x:c r="I52" s="26" t="str"/>
      <x:c r="J52" s="26" t="str"/>
      <x:c r="K52" s="26" t="str"/>
      <x:c r="L52" s="26" t="str"/>
      <x:c r="M52" s="26" t="str"/>
      <x:c r="N52" s="26" t="str"/>
      <x:c r="O52" s="26" t="str"/>
      <x:c r="P52" s="26" t="str"/>
    </x:row>
    <x:row r="53">
      <x:c r="A53" s="14" t="str">
        <x:v>PILOT-M2-D012</x:v>
      </x:c>
      <x:c r="B53" s="14" t="str">
        <x:v>M2</x:v>
      </x:c>
      <x:c r="C53" s="14" t="str">
        <x:f>IF(B53="M1",IF(B2="","",B2),IF(D2="","",D2))</x:f>
      </x:c>
      <x:c r="D53" s="14" t="str">
        <x:v>D012</x:v>
      </x:c>
      <x:c r="E53" s="14" t="str">
        <x:v>Törensel Keşkek geleneğinde buğday taşınırken hangi iki çalgı çalınır?</x:v>
      </x:c>
      <x:c r="F53" s="14" t="str">
        <x:v>Davul ve zurna</x:v>
      </x:c>
      <x:c r="G53" s="14" t="str">
        <x:v>davul ve zurna | zurna ve davul</x:v>
      </x:c>
      <x:c r="H53" s="26" t="str"/>
      <x:c r="I53" s="26" t="str"/>
      <x:c r="J53" s="26" t="str"/>
      <x:c r="K53" s="26" t="str"/>
      <x:c r="L53" s="26" t="str"/>
      <x:c r="M53" s="26" t="str"/>
      <x:c r="N53" s="26" t="str"/>
      <x:c r="O53" s="26" t="str"/>
      <x:c r="P53" s="26" t="str"/>
    </x:row>
    <x:row r="54">
      <x:c r="A54" s="14" t="str">
        <x:v>PILOT-M2-D013</x:v>
      </x:c>
      <x:c r="B54" s="14" t="str">
        <x:v>M2</x:v>
      </x:c>
      <x:c r="C54" s="14" t="str">
        <x:f>IF(B54="M1",IF(B2="","",B2),IF(D2="","",D2))</x:f>
      </x:c>
      <x:c r="D54" s="14" t="str">
        <x:v>D013</x:v>
      </x:c>
      <x:c r="E54" s="14" t="str">
        <x:v>Kültür Portalına göre aşurenin temsil ettiği iki temel kavram nedir?</x:v>
      </x:c>
      <x:c r="F54" s="14" t="str">
        <x:v>Bolluk ve bereket</x:v>
      </x:c>
      <x:c r="G54" s="14" t="str">
        <x:v>bolluk ve bereket | bereket ve bolluk</x:v>
      </x:c>
      <x:c r="H54" s="26" t="str"/>
      <x:c r="I54" s="26" t="str"/>
      <x:c r="J54" s="26" t="str"/>
      <x:c r="K54" s="26" t="str"/>
      <x:c r="L54" s="26" t="str"/>
      <x:c r="M54" s="26" t="str"/>
      <x:c r="N54" s="26" t="str"/>
      <x:c r="O54" s="26" t="str"/>
      <x:c r="P54" s="26" t="str"/>
    </x:row>
    <x:row r="55">
      <x:c r="A55" s="14" t="str">
        <x:v>PILOT-M2-D014</x:v>
      </x:c>
      <x:c r="B55" s="14" t="str">
        <x:v>M2</x:v>
      </x:c>
      <x:c r="C55" s="14" t="str">
        <x:f>IF(B55="M1",IF(B2="","",B2),IF(D2="","",D2))</x:f>
      </x:c>
      <x:c r="D55" s="14" t="str">
        <x:v>D014</x:v>
      </x:c>
      <x:c r="E55" s="14" t="str">
        <x:v>Tekirdağ'daki Herise geleneğinde düğün için hazırlanan yemekten özellikle hangi iki gruba gönderilir?</x:v>
      </x:c>
      <x:c r="F55" s="14" t="str">
        <x:v>Hasta ve yaşlılar</x:v>
      </x:c>
      <x:c r="G55" s="14" t="str">
        <x:v>hasta ve yaşlılar | yaşlı ve hastalar | hastalara ve yaşlılara | yaşlılara ve hastalara</x:v>
      </x:c>
      <x:c r="H55" s="26" t="str"/>
      <x:c r="I55" s="26" t="str"/>
      <x:c r="J55" s="26" t="str"/>
      <x:c r="K55" s="26" t="str"/>
      <x:c r="L55" s="26" t="str"/>
      <x:c r="M55" s="26" t="str"/>
      <x:c r="N55" s="26" t="str"/>
      <x:c r="O55" s="26" t="str"/>
      <x:c r="P55" s="26" t="str"/>
    </x:row>
    <x:row r="56">
      <x:c r="A56" s="14" t="str">
        <x:v>PILOT-M2-D015</x:v>
      </x:c>
      <x:c r="B56" s="14" t="str">
        <x:v>M2</x:v>
      </x:c>
      <x:c r="C56" s="14" t="str">
        <x:f>IF(B56="M1",IF(B2="","",B2),IF(D2="","",D2))</x:f>
      </x:c>
      <x:c r="D56" s="14" t="str">
        <x:v>D015</x:v>
      </x:c>
      <x:c r="E56" s="14" t="str">
        <x:v>Tarsus Humusunda nohutların ezildiği geleneksel bakır kabın adı nedir?</x:v>
      </x:c>
      <x:c r="F56" s="14" t="str">
        <x:v>Humus Tası</x:v>
      </x:c>
      <x:c r="G56" s="14" t="str">
        <x:v>humus tası | humus tasi</x:v>
      </x:c>
      <x:c r="H56" s="26" t="str"/>
      <x:c r="I56" s="26" t="str"/>
      <x:c r="J56" s="26" t="str"/>
      <x:c r="K56" s="26" t="str"/>
      <x:c r="L56" s="26" t="str"/>
      <x:c r="M56" s="26" t="str"/>
      <x:c r="N56" s="26" t="str"/>
      <x:c r="O56" s="26" t="str"/>
      <x:c r="P56" s="26" t="str"/>
    </x:row>
    <x:row r="57">
      <x:c r="A57" s="14" t="str">
        <x:v>PILOT-M2-D016</x:v>
      </x:c>
      <x:c r="B57" s="14" t="str">
        <x:v>M2</x:v>
      </x:c>
      <x:c r="C57" s="14" t="str">
        <x:f>IF(B57="M1",IF(B2="","",B2),IF(D2="","",D2))</x:f>
      </x:c>
      <x:c r="D57" s="14" t="str">
        <x:v>D016</x:v>
      </x:c>
      <x:c r="E57" s="14" t="str">
        <x:v>İzmir kültüründe lokmanın özel günlerde hazırlanarak halka ücretsiz dağıtılması geleneğine ne ad verilir?</x:v>
      </x:c>
      <x:c r="F57" s="14" t="str">
        <x:v>Lokma dökmek</x:v>
      </x:c>
      <x:c r="G57" s="14" t="str">
        <x:v>lokma dökmek | lokma döktürmek</x:v>
      </x:c>
      <x:c r="H57" s="26" t="str"/>
      <x:c r="I57" s="26" t="str"/>
      <x:c r="J57" s="26" t="str"/>
      <x:c r="K57" s="26" t="str"/>
      <x:c r="L57" s="26" t="str"/>
      <x:c r="M57" s="26" t="str"/>
      <x:c r="N57" s="26" t="str"/>
      <x:c r="O57" s="26" t="str"/>
      <x:c r="P57" s="26" t="str"/>
    </x:row>
    <x:row r="58">
      <x:c r="A58" s="14" t="str">
        <x:v>PILOT-M2-D017</x:v>
      </x:c>
      <x:c r="B58" s="14" t="str">
        <x:v>M2</x:v>
      </x:c>
      <x:c r="C58" s="14" t="str">
        <x:f>IF(B58="M1",IF(B2="","",B2),IF(D2="","",D2))</x:f>
      </x:c>
      <x:c r="D58" s="14" t="str">
        <x:v>D017</x:v>
      </x:c>
      <x:c r="E58" s="14" t="str">
        <x:v>İzmir'in bazı yörelerinde Sura'nın üzerine sarılan yağlı zar tabakasına verilen geleneksel adlardan biri nedir?</x:v>
      </x:c>
      <x:c r="F58" s="14" t="str">
        <x:v>Gömlek</x:v>
      </x:c>
      <x:c r="G58" s="14" t="str">
        <x:v>gömlek | çember</x:v>
      </x:c>
      <x:c r="H58" s="26" t="str"/>
      <x:c r="I58" s="26" t="str"/>
      <x:c r="J58" s="26" t="str"/>
      <x:c r="K58" s="26" t="str"/>
      <x:c r="L58" s="26" t="str"/>
      <x:c r="M58" s="26" t="str"/>
      <x:c r="N58" s="26" t="str"/>
      <x:c r="O58" s="26" t="str"/>
      <x:c r="P58" s="26" t="str"/>
    </x:row>
    <x:row r="59">
      <x:c r="A59" s="14" t="str">
        <x:v>PILOT-M2-D018</x:v>
      </x:c>
      <x:c r="B59" s="14" t="str">
        <x:v>M2</x:v>
      </x:c>
      <x:c r="C59" s="14" t="str">
        <x:f>IF(B59="M1",IF(B2="","",B2),IF(D2="","",D2))</x:f>
      </x:c>
      <x:c r="D59" s="14" t="str">
        <x:v>D018</x:v>
      </x:c>
      <x:c r="E59" s="14" t="str">
        <x:v>İzmir mutfağındaki cibez, Tire civarında hangi adla da bilinir?</x:v>
      </x:c>
      <x:c r="F59" s="14" t="str">
        <x:v>Cücük</x:v>
      </x:c>
      <x:c r="G59" s="14" t="str">
        <x:v>cücük</x:v>
      </x:c>
      <x:c r="H59" s="26" t="str"/>
      <x:c r="I59" s="26" t="str"/>
      <x:c r="J59" s="26" t="str"/>
      <x:c r="K59" s="26" t="str"/>
      <x:c r="L59" s="26" t="str"/>
      <x:c r="M59" s="26" t="str"/>
      <x:c r="N59" s="26" t="str"/>
      <x:c r="O59" s="26" t="str"/>
      <x:c r="P59" s="26" t="str"/>
    </x:row>
    <x:row r="60">
      <x:c r="A60" s="14" t="str">
        <x:v>PILOT-M2-D019</x:v>
      </x:c>
      <x:c r="B60" s="14" t="str">
        <x:v>M2</x:v>
      </x:c>
      <x:c r="C60" s="14" t="str">
        <x:f>IF(B60="M1",IF(B2="","",B2),IF(D2="","",D2))</x:f>
      </x:c>
      <x:c r="D60" s="14" t="str">
        <x:v>D019</x:v>
      </x:c>
      <x:c r="E60" s="14" t="str">
        <x:v>Edirne mutfağındaki Kaçamak başka hangi adla bilinir?</x:v>
      </x:c>
      <x:c r="F60" s="14" t="str">
        <x:v>Mamaliga</x:v>
      </x:c>
      <x:c r="G60" s="14" t="str">
        <x:v>mamaliga</x:v>
      </x:c>
      <x:c r="H60" s="26" t="str"/>
      <x:c r="I60" s="26" t="str"/>
      <x:c r="J60" s="26" t="str"/>
      <x:c r="K60" s="26" t="str"/>
      <x:c r="L60" s="26" t="str"/>
      <x:c r="M60" s="26" t="str"/>
      <x:c r="N60" s="26" t="str"/>
      <x:c r="O60" s="26" t="str"/>
      <x:c r="P60" s="26" t="str"/>
    </x:row>
    <x:row r="61">
      <x:c r="A61" s="14" t="str">
        <x:v>PILOT-M2-D020</x:v>
      </x:c>
      <x:c r="B61" s="14" t="str">
        <x:v>M2</x:v>
      </x:c>
      <x:c r="C61" s="14" t="str">
        <x:f>IF(B61="M1",IF(B2="","",B2),IF(D2="","",D2))</x:f>
      </x:c>
      <x:c r="D61" s="14" t="str">
        <x:v>D020</x:v>
      </x:c>
      <x:c r="E61" s="14" t="str">
        <x:v>Afyonkarahisar'da doğumdan sonra misafirlere ikram edilen sıra yemeklerine ne ad verilir?</x:v>
      </x:c>
      <x:c r="F61" s="14" t="str">
        <x:v>Takım</x:v>
      </x:c>
      <x:c r="G61" s="14" t="str">
        <x:v>takım</x:v>
      </x:c>
      <x:c r="H61" s="26" t="str"/>
      <x:c r="I61" s="26" t="str"/>
      <x:c r="J61" s="26" t="str"/>
      <x:c r="K61" s="26" t="str"/>
      <x:c r="L61" s="26" t="str"/>
      <x:c r="M61" s="26" t="str"/>
      <x:c r="N61" s="26" t="str"/>
      <x:c r="O61" s="26" t="str"/>
      <x:c r="P61" s="26" t="str"/>
    </x:row>
    <x:row r="62">
      <x:c r="A62" s="14" t="str">
        <x:v>PILOT-M2-D021</x:v>
      </x:c>
      <x:c r="B62" s="14" t="str">
        <x:v>M2</x:v>
      </x:c>
      <x:c r="C62" s="14" t="str">
        <x:f>IF(B62="M1",IF(B2="","",B2),IF(D2="","",D2))</x:f>
      </x:c>
      <x:c r="D62" s="14" t="str">
        <x:v>D021</x:v>
      </x:c>
      <x:c r="E62" s="14" t="str">
        <x:v>Afyonkarahisar'da nişan töreninin ertesi günü yapılan geleneksel yemekli davetin adı nedir?</x:v>
      </x:c>
      <x:c r="F62" s="14" t="str">
        <x:v>Zinardı daveti</x:v>
      </x:c>
      <x:c r="G62" s="14" t="str">
        <x:v>zinardı daveti | zinardı | sini ardı daveti | sini ardı</x:v>
      </x:c>
      <x:c r="H62" s="26" t="str"/>
      <x:c r="I62" s="26" t="str"/>
      <x:c r="J62" s="26" t="str"/>
      <x:c r="K62" s="26" t="str"/>
      <x:c r="L62" s="26" t="str"/>
      <x:c r="M62" s="26" t="str"/>
      <x:c r="N62" s="26" t="str"/>
      <x:c r="O62" s="26" t="str"/>
      <x:c r="P62" s="26" t="str"/>
    </x:row>
    <x:row r="63">
      <x:c r="A63" s="14" t="str">
        <x:v>PILOT-M2-D022</x:v>
      </x:c>
      <x:c r="B63" s="14" t="str">
        <x:v>M2</x:v>
      </x:c>
      <x:c r="C63" s="14" t="str">
        <x:f>IF(B63="M1",IF(B2="","",B2),IF(D2="","",D2))</x:f>
      </x:c>
      <x:c r="D63" s="14" t="str">
        <x:v>D022</x:v>
      </x:c>
      <x:c r="E63" s="14" t="str">
        <x:v>Afyon mutfak kültüründe yer alan sıra yemeğinde, yemeklerin sofraya geliş sırasını düzenleme işine ne ad verilir?</x:v>
      </x:c>
      <x:c r="F63" s="14" t="str">
        <x:v>Yemek kurtarma</x:v>
      </x:c>
      <x:c r="G63" s="14" t="str">
        <x:v>yemek kurtarma</x:v>
      </x:c>
      <x:c r="H63" s="26" t="str"/>
      <x:c r="I63" s="26" t="str"/>
      <x:c r="J63" s="26" t="str"/>
      <x:c r="K63" s="26" t="str"/>
      <x:c r="L63" s="26" t="str"/>
      <x:c r="M63" s="26" t="str"/>
      <x:c r="N63" s="26" t="str"/>
      <x:c r="O63" s="26" t="str"/>
      <x:c r="P63" s="26" t="str"/>
    </x:row>
    <x:row r="64">
      <x:c r="A64" s="14" t="str">
        <x:v>PILOT-M2-D023</x:v>
      </x:c>
      <x:c r="B64" s="14" t="str">
        <x:v>M2</x:v>
      </x:c>
      <x:c r="C64" s="14" t="str">
        <x:f>IF(B64="M1",IF(B2="","",B2),IF(D2="","",D2))</x:f>
      </x:c>
      <x:c r="D64" s="14" t="str">
        <x:v>D023</x:v>
      </x:c>
      <x:c r="E64" s="14" t="str">
        <x:v>Kuru Antep Baklavasında raf ömrünü uzatmak amacıyla kullanılmayan bileşen nedir?</x:v>
      </x:c>
      <x:c r="F64" s="14" t="str">
        <x:v>Kaymak</x:v>
      </x:c>
      <x:c r="G64" s="14" t="str">
        <x:v>kaymak</x:v>
      </x:c>
      <x:c r="H64" s="26" t="str"/>
      <x:c r="I64" s="26" t="str"/>
      <x:c r="J64" s="26" t="str"/>
      <x:c r="K64" s="26" t="str"/>
      <x:c r="L64" s="26" t="str"/>
      <x:c r="M64" s="26" t="str"/>
      <x:c r="N64" s="26" t="str"/>
      <x:c r="O64" s="26" t="str"/>
      <x:c r="P64" s="26" t="str"/>
    </x:row>
    <x:row r="65">
      <x:c r="A65" s="14" t="str">
        <x:v>PILOT-M2-D024</x:v>
      </x:c>
      <x:c r="B65" s="14" t="str">
        <x:v>M2</x:v>
      </x:c>
      <x:c r="C65" s="14" t="str">
        <x:f>IF(B65="M1",IF(B2="","",B2),IF(D2="","",D2))</x:f>
      </x:c>
      <x:c r="D65" s="14" t="str">
        <x:v>D024</x:v>
      </x:c>
      <x:c r="E65" s="14" t="str">
        <x:v>Maraş Tarhanası üretiminde yoğurt, dövmeye hangi aşamada eklenir?</x:v>
      </x:c>
      <x:c r="F65" s="14" t="str">
        <x:v>Pişirme ve soğutma sonrasında</x:v>
      </x:c>
      <x:c r="G65" s="14" t="str">
        <x:v>pişirme ve soğutma sonrasında | pişirmeden ve soğutmadan sonra | dövme pişirilip soğutulduktan sonra | pişmiş dövme soğutulduktan sonra</x:v>
      </x:c>
      <x:c r="H65" s="26" t="str"/>
      <x:c r="I65" s="26" t="str"/>
      <x:c r="J65" s="26" t="str"/>
      <x:c r="K65" s="26" t="str"/>
      <x:c r="L65" s="26" t="str"/>
      <x:c r="M65" s="26" t="str"/>
      <x:c r="N65" s="26" t="str"/>
      <x:c r="O65" s="26" t="str"/>
      <x:c r="P65" s="26" t="str"/>
    </x:row>
    <x:row r="66">
      <x:c r="A66" s="14" t="str">
        <x:v>PILOT-M2-D025</x:v>
      </x:c>
      <x:c r="B66" s="14" t="str">
        <x:v>M2</x:v>
      </x:c>
      <x:c r="C66" s="14" t="str">
        <x:f>IF(B66="M1",IF(B2="","",B2),IF(D2="","",D2))</x:f>
      </x:c>
      <x:c r="D66" s="14" t="str">
        <x:v>D025</x:v>
      </x:c>
      <x:c r="E66" s="14" t="str">
        <x:v>Afyon Sucuğu hamuru hangi tür bağırsağa doldurulur?</x:v>
      </x:c>
      <x:c r="F66" s="14" t="str">
        <x:v>Sığır bağırsağı</x:v>
      </x:c>
      <x:c r="G66" s="14" t="str">
        <x:v>sığır bağırsağı | sığır bağırsağına</x:v>
      </x:c>
      <x:c r="H66" s="26" t="str"/>
      <x:c r="I66" s="26" t="str"/>
      <x:c r="J66" s="26" t="str"/>
      <x:c r="K66" s="26" t="str"/>
      <x:c r="L66" s="26" t="str"/>
      <x:c r="M66" s="26" t="str"/>
      <x:c r="N66" s="26" t="str"/>
      <x:c r="O66" s="26" t="str"/>
      <x:c r="P66" s="26" t="str"/>
    </x:row>
    <x:row r="67">
      <x:c r="A67" s="14" t="str">
        <x:v>PILOT-M2-D026</x:v>
      </x:c>
      <x:c r="B67" s="14" t="str">
        <x:v>M2</x:v>
      </x:c>
      <x:c r="C67" s="14" t="str">
        <x:f>IF(B67="M1",IF(B2="","",B2),IF(D2="","",D2))</x:f>
      </x:c>
      <x:c r="D67" s="14" t="str">
        <x:v>D026</x:v>
      </x:c>
      <x:c r="E67" s="14" t="str">
        <x:v>Malatya Kâğıt Kebabının taş fırını geleneksel olarak hangi odunla ısıtılır?</x:v>
      </x:c>
      <x:c r="F67" s="14" t="str">
        <x:v>Meşe odunu</x:v>
      </x:c>
      <x:c r="G67" s="14" t="str">
        <x:v>meşe odunu | meşe</x:v>
      </x:c>
      <x:c r="H67" s="26" t="str"/>
      <x:c r="I67" s="26" t="str"/>
      <x:c r="J67" s="26" t="str"/>
      <x:c r="K67" s="26" t="str"/>
      <x:c r="L67" s="26" t="str"/>
      <x:c r="M67" s="26" t="str"/>
      <x:c r="N67" s="26" t="str"/>
      <x:c r="O67" s="26" t="str"/>
      <x:c r="P67" s="26" t="str"/>
    </x:row>
    <x:row r="68">
      <x:c r="A68" s="14" t="str">
        <x:v>PILOT-M2-D027</x:v>
      </x:c>
      <x:c r="B68" s="14" t="str">
        <x:v>M2</x:v>
      </x:c>
      <x:c r="C68" s="14" t="str">
        <x:f>IF(B68="M1",IF(B2="","",B2),IF(D2="","",D2))</x:f>
      </x:c>
      <x:c r="D68" s="14" t="str">
        <x:v>D027</x:v>
      </x:c>
      <x:c r="E68" s="14" t="str">
        <x:v>Ordu Tostu için üretilen özel ekmek geleneksel olarak hangi yakıtla pişirilir?</x:v>
      </x:c>
      <x:c r="F68" s="14" t="str">
        <x:v>Fındık kabuğu</x:v>
      </x:c>
      <x:c r="G68" s="14" t="str">
        <x:v>fındık kabuğu | fındık kabuğu ateşi | fındık kabuğu ateşinde</x:v>
      </x:c>
      <x:c r="H68" s="26" t="str"/>
      <x:c r="I68" s="26" t="str"/>
      <x:c r="J68" s="26" t="str"/>
      <x:c r="K68" s="26" t="str"/>
      <x:c r="L68" s="26" t="str"/>
      <x:c r="M68" s="26" t="str"/>
      <x:c r="N68" s="26" t="str"/>
      <x:c r="O68" s="26" t="str"/>
      <x:c r="P68" s="26" t="str"/>
    </x:row>
    <x:row r="69">
      <x:c r="A69" s="14" t="str">
        <x:v>PILOT-M2-D028</x:v>
      </x:c>
      <x:c r="B69" s="14" t="str">
        <x:v>M2</x:v>
      </x:c>
      <x:c r="C69" s="14" t="str">
        <x:f>IF(B69="M1",IF(B2="","",B2),IF(D2="","",D2))</x:f>
      </x:c>
      <x:c r="D69" s="14" t="str">
        <x:v>D028</x:v>
      </x:c>
      <x:c r="E69" s="14" t="str">
        <x:v>Tekirdağ Bulamasında köpük oluşturmak amacıyla kullanılan geleneksel bitkisel bileşen nedir?</x:v>
      </x:c>
      <x:c r="F69" s="14" t="str">
        <x:v>Çöven</x:v>
      </x:c>
      <x:c r="G69" s="14" t="str">
        <x:v>çöven | çöğen</x:v>
      </x:c>
      <x:c r="H69" s="26" t="str"/>
      <x:c r="I69" s="26" t="str"/>
      <x:c r="J69" s="26" t="str"/>
      <x:c r="K69" s="26" t="str"/>
      <x:c r="L69" s="26" t="str"/>
      <x:c r="M69" s="26" t="str"/>
      <x:c r="N69" s="26" t="str"/>
      <x:c r="O69" s="26" t="str"/>
      <x:c r="P69" s="26" t="str"/>
    </x:row>
    <x:row r="70">
      <x:c r="A70" s="14" t="str">
        <x:v>PILOT-M2-D029</x:v>
      </x:c>
      <x:c r="B70" s="14" t="str">
        <x:v>M2</x:v>
      </x:c>
      <x:c r="C70" s="14" t="str">
        <x:f>IF(B70="M1",IF(B2="","",B2),IF(D2="","",D2))</x:f>
      </x:c>
      <x:c r="D70" s="14" t="str">
        <x:v>D029</x:v>
      </x:c>
      <x:c r="E70" s="14" t="str">
        <x:v>Türk kahvesi içildikten sonra fincanda kalan telve geleneksel olarak hangi uygulamada kullanılır?</x:v>
      </x:c>
      <x:c r="F70" s="14" t="str">
        <x:v>Fal bakmak</x:v>
      </x:c>
      <x:c r="G70" s="14" t="str">
        <x:v>fal bakmak | kahve falı | kahve falı bakmak | falcılık</x:v>
      </x:c>
      <x:c r="H70" s="26" t="str"/>
      <x:c r="I70" s="26" t="str"/>
      <x:c r="J70" s="26" t="str"/>
      <x:c r="K70" s="26" t="str"/>
      <x:c r="L70" s="26" t="str"/>
      <x:c r="M70" s="26" t="str"/>
      <x:c r="N70" s="26" t="str"/>
      <x:c r="O70" s="26" t="str"/>
      <x:c r="P70" s="26" t="str"/>
    </x:row>
    <x:row r="71">
      <x:c r="A71" s="14" t="str">
        <x:v>PILOT-M2-D030</x:v>
      </x:c>
      <x:c r="B71" s="14" t="str">
        <x:v>M2</x:v>
      </x:c>
      <x:c r="C71" s="14" t="str">
        <x:f>IF(B71="M1",IF(B2="","",B2),IF(D2="","",D2))</x:f>
      </x:c>
      <x:c r="D71" s="14" t="str">
        <x:v>D030</x:v>
      </x:c>
      <x:c r="E71" s="14" t="str">
        <x:v>Türkiye ile birlikte Çay Kültürü unsurunu UNESCO'ya ortak kaydettiren ülke hangisidir?</x:v>
      </x:c>
      <x:c r="F71" s="14" t="str">
        <x:v>Azerbaycan</x:v>
      </x:c>
      <x:c r="G71" s="14" t="str">
        <x:v>azerbaycan | azerbaijan</x:v>
      </x:c>
      <x:c r="H71" s="26" t="str"/>
      <x:c r="I71" s="26" t="str"/>
      <x:c r="J71" s="26" t="str"/>
      <x:c r="K71" s="26" t="str"/>
      <x:c r="L71" s="26" t="str"/>
      <x:c r="M71" s="26" t="str"/>
      <x:c r="N71" s="26" t="str"/>
      <x:c r="O71" s="26" t="str"/>
      <x:c r="P71" s="26" t="str"/>
    </x:row>
    <x:row r="72">
      <x:c r="A72" s="14" t="str">
        <x:v>PILOT-M2-D031</x:v>
      </x:c>
      <x:c r="B72" s="14" t="str">
        <x:v>M2</x:v>
      </x:c>
      <x:c r="C72" s="14" t="str">
        <x:f>IF(B72="M1",IF(B2="","",B2),IF(D2="","",D2))</x:f>
      </x:c>
      <x:c r="D72" s="14" t="str">
        <x:v>D031</x:v>
      </x:c>
      <x:c r="E72" s="14" t="str">
        <x:v>Geleneksel yassı ekmek yapımı aile dışında hangi öğrenme ilişkisiyle aktarılır?</x:v>
      </x:c>
      <x:c r="F72" s="14" t="str">
        <x:v>Usta-çırak</x:v>
      </x:c>
      <x:c r="G72" s="14" t="str">
        <x:v>usta-çırak | usta çırak | ustadan çırağa | usta-çırak ilişkisi</x:v>
      </x:c>
      <x:c r="H72" s="26" t="str"/>
      <x:c r="I72" s="26" t="str"/>
      <x:c r="J72" s="26" t="str"/>
      <x:c r="K72" s="26" t="str"/>
      <x:c r="L72" s="26" t="str"/>
      <x:c r="M72" s="26" t="str"/>
      <x:c r="N72" s="26" t="str"/>
      <x:c r="O72" s="26" t="str"/>
      <x:c r="P72" s="26" t="str"/>
    </x:row>
    <x:row r="73">
      <x:c r="A73" s="14" t="str">
        <x:v>PILOT-M2-D032</x:v>
      </x:c>
      <x:c r="B73" s="14" t="str">
        <x:v>M2</x:v>
      </x:c>
      <x:c r="C73" s="14" t="str">
        <x:f>IF(B73="M1",IF(B2="","",B2),IF(D2="","",D2))</x:f>
      </x:c>
      <x:c r="D73" s="14" t="str">
        <x:v>D032</x:v>
      </x:c>
      <x:c r="E73" s="14" t="str">
        <x:v>Törensel Keşkek geleneğinde buğday, törenden önceki gün hangi uygulama eşliğinde yıkanır?</x:v>
      </x:c>
      <x:c r="F73" s="14" t="str">
        <x:v>Dua</x:v>
      </x:c>
      <x:c r="G73" s="14" t="str">
        <x:v>dua | dualar | dua ederek | dualarla</x:v>
      </x:c>
      <x:c r="H73" s="26" t="str"/>
      <x:c r="I73" s="26" t="str"/>
      <x:c r="J73" s="26" t="str"/>
      <x:c r="K73" s="26" t="str"/>
      <x:c r="L73" s="26" t="str"/>
      <x:c r="M73" s="26" t="str"/>
      <x:c r="N73" s="26" t="str"/>
      <x:c r="O73" s="26" t="str"/>
      <x:c r="P73" s="26" t="str"/>
    </x:row>
    <x:row r="74">
      <x:c r="A74" s="14" t="str">
        <x:v>PILOT-M2-D033</x:v>
      </x:c>
      <x:c r="B74" s="14" t="str">
        <x:v>M2</x:v>
      </x:c>
      <x:c r="C74" s="14" t="str">
        <x:f>IF(B74="M1",IF(B2="","",B2),IF(D2="","",D2))</x:f>
      </x:c>
      <x:c r="D74" s="14" t="str">
        <x:v>D033</x:v>
      </x:c>
      <x:c r="E74" s="14" t="str">
        <x:v>Mesir Macunu Festivali tarihsel olarak kimin iyileşmesini anar?</x:v>
      </x:c>
      <x:c r="F74" s="14" t="str">
        <x:v>Hafsa Sultan</x:v>
      </x:c>
      <x:c r="G74" s="14" t="str">
        <x:v>hafsa sultan | ayşe hafsa sultan</x:v>
      </x:c>
      <x:c r="H74" s="26" t="str"/>
      <x:c r="I74" s="26" t="str"/>
      <x:c r="J74" s="26" t="str"/>
      <x:c r="K74" s="26" t="str"/>
      <x:c r="L74" s="26" t="str"/>
      <x:c r="M74" s="26" t="str"/>
      <x:c r="N74" s="26" t="str"/>
      <x:c r="O74" s="26" t="str"/>
      <x:c r="P74" s="26" t="str"/>
    </x:row>
    <x:row r="75">
      <x:c r="A75" s="14" t="str">
        <x:v>PILOT-M2-D034</x:v>
      </x:c>
      <x:c r="B75" s="14" t="str">
        <x:v>M2</x:v>
      </x:c>
      <x:c r="C75" s="14" t="str">
        <x:f>IF(B75="M1",IF(B2="","",B2),IF(D2="","",D2))</x:f>
      </x:c>
      <x:c r="D75" s="14" t="str">
        <x:v>D034</x:v>
      </x:c>
      <x:c r="E75" s="14" t="str">
        <x:v>Türkiye'de güllaç geleneksel olarak hangi ayla özdeşleşir?</x:v>
      </x:c>
      <x:c r="F75" s="14" t="str">
        <x:v>Ramazan</x:v>
      </x:c>
      <x:c r="G75" s="14" t="str">
        <x:v>ramazan | ramazan ayı</x:v>
      </x:c>
      <x:c r="H75" s="26" t="str"/>
      <x:c r="I75" s="26" t="str"/>
      <x:c r="J75" s="26" t="str"/>
      <x:c r="K75" s="26" t="str"/>
      <x:c r="L75" s="26" t="str"/>
      <x:c r="M75" s="26" t="str"/>
      <x:c r="N75" s="26" t="str"/>
      <x:c r="O75" s="26" t="str"/>
      <x:c r="P75" s="26" t="str"/>
    </x:row>
    <x:row r="76">
      <x:c r="A76" s="14" t="str">
        <x:v>PILOT-M2-D035</x:v>
      </x:c>
      <x:c r="B76" s="14" t="str">
        <x:v>M2</x:v>
      </x:c>
      <x:c r="C76" s="14" t="str">
        <x:f>IF(B76="M1",IF(B2="","",B2),IF(D2="","",D2))</x:f>
      </x:c>
      <x:c r="D76" s="14" t="str">
        <x:v>D035</x:v>
      </x:c>
      <x:c r="E76" s="14" t="str">
        <x:v>Afyon Sucuğunda manda etinin asgari oranı yüzde kaçtır?</x:v>
      </x:c>
      <x:c r="F76" s="14" t="str">
        <x:v>En az %15</x:v>
      </x:c>
      <x:c r="G76" s="14" t="str">
        <x:v>15 | %15 | yüzde 15 | en az %15 | en az yüzde 15</x:v>
      </x:c>
      <x:c r="H76" s="26" t="str"/>
      <x:c r="I76" s="26" t="str"/>
      <x:c r="J76" s="26" t="str"/>
      <x:c r="K76" s="26" t="str"/>
      <x:c r="L76" s="26" t="str"/>
      <x:c r="M76" s="26" t="str"/>
      <x:c r="N76" s="26" t="str"/>
      <x:c r="O76" s="26" t="str"/>
      <x:c r="P76" s="26" t="str"/>
    </x:row>
    <x:row r="77">
      <x:c r="A77" s="14" t="str">
        <x:v>PILOT-M2-D036</x:v>
      </x:c>
      <x:c r="B77" s="14" t="str">
        <x:v>M2</x:v>
      </x:c>
      <x:c r="C77" s="14" t="str">
        <x:f>IF(B77="M1",IF(B2="","",B2),IF(D2="","",D2))</x:f>
      </x:c>
      <x:c r="D77" s="14" t="str">
        <x:v>D036</x:v>
      </x:c>
      <x:c r="E77" s="14" t="str">
        <x:v>Törensel Keşkek hazırlığında buğday taş havanda kaç kişi tarafından dövülür?</x:v>
      </x:c>
      <x:c r="F77" s="14" t="str">
        <x:v>2–4 kişi</x:v>
      </x:c>
      <x:c r="G77" s="14" t="str">
        <x:v>2-4 | 2–4 | 2 ila 4 | iki ila dört | iki-dört kişi</x:v>
      </x:c>
      <x:c r="H77" s="26" t="str"/>
      <x:c r="I77" s="26" t="str"/>
      <x:c r="J77" s="26" t="str"/>
      <x:c r="K77" s="26" t="str"/>
      <x:c r="L77" s="26" t="str"/>
      <x:c r="M77" s="26" t="str"/>
      <x:c r="N77" s="26" t="str"/>
      <x:c r="O77" s="26" t="str"/>
      <x:c r="P77" s="26" t="str"/>
    </x:row>
  </x:sheetData>
  <x:mergeCells>
    <x:mergeCell ref="A1:P1"/>
    <x:mergeCell ref="B3:P3"/>
  </x:mergeCells>
  <x:dataValidations count="5">
    <x:dataValidation type="list" sqref="J6:J77">
      <x:formula1>"yes,no"</x:formula1>
    </x:dataValidation>
    <x:dataValidation type="list" sqref="K6:K77">
      <x:formula1>"yes,no"</x:formula1>
    </x:dataValidation>
    <x:dataValidation type="list" sqref="L6:M77">
      <x:formula1>"CO,IN,NA"</x:formula1>
    </x:dataValidation>
    <x:dataValidation type="list" sqref="N6:N77">
      <x:formula1>"yes,no"</x:formula1>
    </x:dataValidation>
    <x:dataValidation type="list" sqref="O6:O77">
      <x:formula1>"prompt,normalization,accepted_answers,numeric_parser,abstention,mixed_response,other"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8fa8f2075f4d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37.5" hidden="0" customWidth="1"/>
    <x:col min="3" max="3" width="15" hidden="0" customWidth="1"/>
    <x:col min="4" max="4" width="15" hidden="0" customWidth="1"/>
    <x:col min="5" max="5" width="16.8799991607666" hidden="0" customWidth="1"/>
  </x:cols>
  <x:sheetData>
    <x:row r="1" ht="28.5" customHeight="1">
      <x:c r="A1" s="3" t="str">
        <x:v>Validation Dashboard — Readiness Gate</x:v>
      </x:c>
      <x:c r="B1" s="3" t="str">
        <x:v>Validation Dashboard — Readiness Gate</x:v>
      </x:c>
      <x:c r="C1" s="3" t="str">
        <x:v>Validation Dashboard — Readiness Gate</x:v>
      </x:c>
      <x:c r="D1" s="3" t="str">
        <x:v>Validation Dashboard — Readiness Gate</x:v>
      </x:c>
      <x:c r="E1" s="3" t="str">
        <x:v>Validation Dashboard — Readiness Gate</x:v>
      </x:c>
    </x:row>
    <x:row r="3">
      <x:c r="A3" s="11" t="str">
        <x:v>AREA</x:v>
      </x:c>
      <x:c r="B3" s="11" t="str">
        <x:v>METRIC</x:v>
      </x:c>
      <x:c r="C3" s="11" t="str">
        <x:v>TARGET</x:v>
      </x:c>
      <x:c r="D3" s="11" t="str">
        <x:v>OBSERVED</x:v>
      </x:c>
      <x:c r="E3" s="11" t="str">
        <x:v>STATUS</x:v>
      </x:c>
    </x:row>
    <x:row r="4">
      <x:c r="A4" s="32" t="str">
        <x:v>Dev review</x:v>
      </x:c>
      <x:c r="B4" s="14" t="str">
        <x:v>Reviewer A actions completed</x:v>
      </x:c>
      <x:c r="C4" s="14" t="n">
        <x:v>36</x:v>
      </x:c>
      <x:c r="D4" s="14" t="n">
        <x:f>COUNTIF('Dev_Reviewer_A'!$P$6:$P$41,"accept")+COUNTIF('Dev_Reviewer_A'!$P$6:$P$41,"revise")+COUNTIF('Dev_Reviewer_A'!$P$6:$P$41,"exclude")</x:f>
        <x:v>36</x:v>
      </x:c>
      <x:c r="E4" s="37" t="str">
        <x:f>IF(C4="monitor","INFO",IF(C4="all","INFO",IF(D4=C4,"PASS","PENDING")))</x:f>
        <x:v>PASS</x:v>
      </x:c>
    </x:row>
    <x:row r="5">
      <x:c r="A5" s="32" t="str">
        <x:v>Dev review</x:v>
      </x:c>
      <x:c r="B5" s="14" t="str">
        <x:v>Reviewer B actions completed</x:v>
      </x:c>
      <x:c r="C5" s="14" t="n">
        <x:v>36</x:v>
      </x:c>
      <x:c r="D5" s="14" t="n">
        <x:f>COUNTIF('Dev_Reviewer_B'!$P$6:$P$41,"accept")+COUNTIF('Dev_Reviewer_B'!$P$6:$P$41,"revise")+COUNTIF('Dev_Reviewer_B'!$P$6:$P$41,"exclude")</x:f>
        <x:v>36</x:v>
      </x:c>
      <x:c r="E5" s="37" t="str">
        <x:f>IF(C5="monitor","INFO",IF(C5="all","INFO",IF(D5=C5,"PASS","PENDING")))</x:f>
        <x:v>PASS</x:v>
      </x:c>
    </x:row>
    <x:row r="6">
      <x:c r="A6" s="32" t="str">
        <x:v>Dev review</x:v>
      </x:c>
      <x:c r="B6" s="14" t="str">
        <x:v>Unresolved validation cases</x:v>
      </x:c>
      <x:c r="C6" s="14" t="n">
        <x:v>0</x:v>
      </x:c>
      <x:c r="D6" s="14" t="n">
        <x:f>COUNTIF('Review_Reconciliation'!$N$6:$N$41,"pending_independent_adjudication")</x:f>
        <x:v>0</x:v>
      </x:c>
      <x:c r="E6" s="37" t="str">
        <x:f>IF(D6=0,"PASS","ACTION REQUIRED")</x:f>
        <x:v>PASS</x:v>
      </x:c>
    </x:row>
    <x:row r="7">
      <x:c r="A7" s="32" t="str">
        <x:v>Dev review</x:v>
      </x:c>
      <x:c r="B7" s="14" t="str">
        <x:v>Final actions completed</x:v>
      </x:c>
      <x:c r="C7" s="14" t="n">
        <x:v>36</x:v>
      </x:c>
      <x:c r="D7" s="14" t="n">
        <x:f>COUNTIF('Dev_Adjudication'!$F$6:$F$41,"accept")+COUNTIF('Dev_Adjudication'!$F$6:$F$41,"revise")+COUNTIF('Dev_Adjudication'!$F$6:$F$41,"exclude")</x:f>
        <x:v>36</x:v>
      </x:c>
      <x:c r="E7" s="37" t="str">
        <x:f>IF(C7="monitor","INFO",IF(C7="all","INFO",IF(D7=C7,"PASS","PENDING")))</x:f>
        <x:v>PASS</x:v>
      </x:c>
    </x:row>
    <x:row r="8">
      <x:c r="A8" s="32" t="str">
        <x:v>Main assignment</x:v>
      </x:c>
      <x:c r="B8" s="14" t="str">
        <x:v>Items entered</x:v>
      </x:c>
      <x:c r="C8" s="14" t="str">
        <x:v>monitor</x:v>
      </x:c>
      <x:c r="D8" s="14" t="n">
        <x:f>COUNTIF('Main_Assignment'!$A$6:$A$255,"?*")</x:f>
        <x:v>0</x:v>
      </x:c>
      <x:c r="E8" s="37" t="str">
        <x:f>IF(C8="monitor","INFO",IF(C8="all","INFO",IF(D8=C8,"PASS","PENDING")))</x:f>
        <x:v>INFO</x:v>
      </x:c>
    </x:row>
    <x:row r="9">
      <x:c r="A9" s="32" t="str">
        <x:v>Main assignment</x:v>
      </x:c>
      <x:c r="B9" s="14" t="str">
        <x:v>Higher-risk items assigned AB</x:v>
      </x:c>
      <x:c r="C9" s="14" t="str">
        <x:v>all</x:v>
      </x:c>
      <x:c r="D9" s="14" t="n">
        <x:f>COUNTIFS('Main_Assignment'!$K$6:$K$255,"higher",'Main_Assignment'!$L$6:$L$255,"AB")</x:f>
        <x:v>0</x:v>
      </x:c>
      <x:c r="E9" s="37" t="str">
        <x:f>IF(C9="monitor","INFO",IF(C9="all","INFO",IF(D9=C9,"PASS","PENDING")))</x:f>
        <x:v>INFO</x:v>
      </x:c>
    </x:row>
    <x:row r="10">
      <x:c r="A10" s="32" t="str">
        <x:v>Main assignment</x:v>
      </x:c>
      <x:c r="B10" s="14" t="str">
        <x:v>Incomplete assignments</x:v>
      </x:c>
      <x:c r="C10" s="14" t="n">
        <x:v>0</x:v>
      </x:c>
      <x:c r="D10" s="14" t="n">
        <x:f>COUNTIF('Main_Assignment'!$O$6:$O$255,"INCOMPLETE")</x:f>
        <x:v>0</x:v>
      </x:c>
      <x:c r="E10" s="37" t="str">
        <x:f>IF(D8=0,"INFO",IF(D10=0,"PASS","ACTION REQUIRED"))</x:f>
        <x:v>INFO</x:v>
      </x:c>
    </x:row>
    <x:row r="11">
      <x:c r="A11" s="32" t="str">
        <x:v>Pilot</x:v>
      </x:c>
      <x:c r="B11" s="14" t="str">
        <x:v>Expected output rows</x:v>
      </x:c>
      <x:c r="C11" s="14" t="n">
        <x:v>72</x:v>
      </x:c>
      <x:c r="D11" s="14" t="n">
        <x:f>COUNTA('Pilot_Run_Log'!$A$6:$A$77)</x:f>
        <x:v>72</x:v>
      </x:c>
      <x:c r="E11" s="37" t="str">
        <x:f>IF(C11="monitor","INFO",IF(C11="all","INFO",IF(D11=C11,"PASS","PENDING")))</x:f>
        <x:v>PASS</x:v>
      </x:c>
    </x:row>
    <x:row r="12">
      <x:c r="A12" s="32" t="str">
        <x:v>Pilot</x:v>
      </x:c>
      <x:c r="B12" s="14" t="str">
        <x:v>Exact model IDs entered</x:v>
      </x:c>
      <x:c r="C12" s="14" t="n">
        <x:v>72</x:v>
      </x:c>
      <x:c r="D12" s="14" t="n">
        <x:f>COUNTIF('Pilot_Run_Log'!$C$6:$C$77,"?*")</x:f>
        <x:v>0</x:v>
      </x:c>
      <x:c r="E12" s="37" t="str">
        <x:f>IF(C12="monitor","INFO",IF(C12="all","INFO",IF(D12=C12,"PASS","PENDING")))</x:f>
        <x:v>PENDING</x:v>
      </x:c>
    </x:row>
    <x:row r="13">
      <x:c r="A13" s="32" t="str">
        <x:v>Pilot</x:v>
      </x:c>
      <x:c r="B13" s="14" t="str">
        <x:v>Final labels completed</x:v>
      </x:c>
      <x:c r="C13" s="14" t="n">
        <x:v>72</x:v>
      </x:c>
      <x:c r="D13" s="14" t="n">
        <x:f>COUNTIF('Pilot_Run_Log'!$M$6:$M$77,"CO")+COUNTIF('Pilot_Run_Log'!$M$6:$M$77,"IN")+COUNTIF('Pilot_Run_Log'!$M$6:$M$77,"NA")</x:f>
        <x:v>0</x:v>
      </x:c>
      <x:c r="E13" s="37" t="str">
        <x:f>IF(C13="monitor","INFO",IF(C13="all","INFO",IF(D13=C13,"PASS","PENDING")))</x:f>
        <x:v>PENDING</x:v>
      </x:c>
    </x:row>
    <x:row r="14">
      <x:c r="A14" s="32" t="str">
        <x:v>Pilot</x:v>
      </x:c>
      <x:c r="B14" s="14" t="str">
        <x:v>Unresolved scoring issues</x:v>
      </x:c>
      <x:c r="C14" s="14" t="n">
        <x:v>0</x:v>
      </x:c>
      <x:c r="D14" s="14" t="n">
        <x:f>COUNTIF('Pilot_Run_Log'!$N$6:$N$77,"yes")</x:f>
        <x:v>0</x:v>
      </x:c>
      <x:c r="E14" s="37" t="str">
        <x:f>IF(D13&lt;72,"PENDING",IF(D14=0,"PASS","ACTION REQUIRED"))</x:f>
        <x:v>PENDING</x:v>
      </x:c>
    </x:row>
    <x:row r="15">
      <x:c r="A15" s="32" t="str">
        <x:v>Overall</x:v>
      </x:c>
      <x:c r="B15" s="14" t="str">
        <x:v>GO / NO-GO</x:v>
      </x:c>
      <x:c r="C15" s="14" t="str">
        <x:v>GO</x:v>
      </x:c>
      <x:c r="D15" s="14" t="str">
        <x:f>IF(AND(D4=36,D5=36,D6=0,D7=36,D11=72,D12=72,D13=72,D14=0),"GO","PENDING / NO-GO")</x:f>
        <x:v>PENDING / NO-GO</x:v>
      </x:c>
      <x:c r="E15" s="37" t="str">
        <x:f>IF(D15="GO","PASS","ACTION REQUIRED")</x:f>
        <x:v>ACTION REQUIRED</x:v>
      </x:c>
    </x:row>
    <x:row r="17" ht="43.5" customHeight="1">
      <x:c r="A17" s="38" t="str">
        <x:v>Interpretation</x:v>
      </x:c>
      <x:c r="B17" s="39" t="str">
        <x:v>Dev validation and independent adjudication are complete. TurkCuisineBench-Dev v0.2 is frozen. The overall gate remains pending until the 72-row two-model pipeline pilot is completed and all scoring issues are resolved.</x:v>
      </x:c>
      <x:c r="C17" s="39" t="str"/>
      <x:c r="D17" s="39" t="str"/>
      <x:c r="E17" s="39" t="str"/>
    </x:row>
  </x:sheetData>
  <x:mergeCells>
    <x:mergeCell ref="A1:E1"/>
    <x:mergeCell ref="B17:E1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2.5" hidden="0" customWidth="1"/>
    <x:col min="3" max="3" width="13.75" hidden="0" customWidth="1"/>
    <x:col min="4" max="4" width="12.5" hidden="0" customWidth="1"/>
    <x:col min="5" max="5" width="15" hidden="0" customWidth="1"/>
    <x:col min="6" max="6" width="11.25" hidden="0" customWidth="1"/>
    <x:col min="7" max="7" width="12.5" hidden="0" customWidth="1"/>
    <x:col min="8" max="8" width="13.75" hidden="0" customWidth="1"/>
    <x:col min="9" max="9" width="12.5" hidden="0" customWidth="1"/>
    <x:col min="10" max="10" width="15" hidden="0" customWidth="1"/>
    <x:col min="11" max="11" width="11.25" hidden="0" customWidth="1"/>
    <x:col min="12" max="12" width="28.1299991607666" hidden="0" customWidth="1"/>
    <x:col min="13" max="13" width="43.75" hidden="0" customWidth="1"/>
    <x:col min="14" max="14" width="28.1299991607666" hidden="0" customWidth="1"/>
    <x:col min="15" max="15" width="45" hidden="0" customWidth="1"/>
  </x:cols>
  <x:sheetData>
    <x:row r="1" ht="25.5" customHeight="1">
      <x:c r="A1" s="42" t="str">
        <x:v>TurkCuisineBench-Dev — Reviewer Reconciliation v0.4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2" ht="33" customHeight="1">
      <x:c r="A2" s="45" t="str">
        <x:v>Raw reviewer and adjudicator records are archived privately. This sheet is de-identified. All 36 Dev items are resolved; the frozen release is TurkCuisineBench-Dev v0.2.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5">
      <x:c r="A5" s="53" t="str">
        <x:v>item_id</x:v>
      </x:c>
      <x:c r="B5" s="53" t="str">
        <x:v>A_source_support</x:v>
      </x:c>
      <x:c r="C5" s="53" t="str">
        <x:v>A_question_clarity</x:v>
      </x:c>
      <x:c r="D5" s="53" t="str">
        <x:v>A_gold_correctness</x:v>
      </x:c>
      <x:c r="E5" s="53" t="str">
        <x:v>A_accepted_completeness</x:v>
      </x:c>
      <x:c r="F5" s="53" t="str">
        <x:v>A_action</x:v>
      </x:c>
      <x:c r="G5" s="53" t="str">
        <x:v>B_source_support</x:v>
      </x:c>
      <x:c r="H5" s="53" t="str">
        <x:v>B_question_clarity</x:v>
      </x:c>
      <x:c r="I5" s="53" t="str">
        <x:v>B_gold_correctness</x:v>
      </x:c>
      <x:c r="J5" s="53" t="str">
        <x:v>B_accepted_completeness</x:v>
      </x:c>
      <x:c r="K5" s="53" t="str">
        <x:v>B_action</x:v>
      </x:c>
      <x:c r="L5" s="53" t="str">
        <x:v>issue_type</x:v>
      </x:c>
      <x:c r="M5" s="53" t="str">
        <x:v>final_resolution_question_tr</x:v>
      </x:c>
      <x:c r="N5" s="53" t="str">
        <x:v>resolution_status</x:v>
      </x:c>
      <x:c r="O5" s="53" t="str">
        <x:v>evidence_note</x:v>
      </x:c>
    </x:row>
    <x:row r="6" ht="39" customHeight="1">
      <x:c r="A6" s="56" t="str">
        <x:v>D001</x:v>
      </x:c>
      <x:c r="B6" s="54" t="str">
        <x:v>sufficient</x:v>
      </x:c>
      <x:c r="C6" s="54" t="str">
        <x:v>clear</x:v>
      </x:c>
      <x:c r="D6" s="54" t="str">
        <x:v>correct</x:v>
      </x:c>
      <x:c r="E6" s="54" t="str">
        <x:v>complete</x:v>
      </x:c>
      <x:c r="F6" s="54" t="str">
        <x:v>accept</x:v>
      </x:c>
      <x:c r="G6" s="54" t="str">
        <x:v>sufficient</x:v>
      </x:c>
      <x:c r="H6" s="54" t="str">
        <x:v>clear</x:v>
      </x:c>
      <x:c r="I6" s="54" t="str">
        <x:v>correct</x:v>
      </x:c>
      <x:c r="J6" s="54" t="str">
        <x:v>complete</x:v>
      </x:c>
      <x:c r="K6" s="54" t="str">
        <x:v>accept</x:v>
      </x:c>
      <x:c r="L6" s="55" t="str">
        <x:v>none</x:v>
      </x:c>
      <x:c r="M6" s="55" t="str">
        <x:v>Accept as written.</x:v>
      </x:c>
      <x:c r="N6" s="55" t="str">
        <x:v>resolved_by_concordant_review</x:v>
      </x:c>
      <x:c r="O6" s="55" t="str">
        <x:v>Both independent reviewers marked all required dimensions positively.</x:v>
      </x:c>
    </x:row>
    <x:row r="7" ht="39" customHeight="1">
      <x:c r="A7" s="56" t="str">
        <x:v>D002</x:v>
      </x:c>
      <x:c r="B7" s="54" t="str">
        <x:v>sufficient</x:v>
      </x:c>
      <x:c r="C7" s="54" t="str">
        <x:v>minor_revision</x:v>
      </x:c>
      <x:c r="D7" s="54" t="str">
        <x:v>correct</x:v>
      </x:c>
      <x:c r="E7" s="54" t="str">
        <x:v>complete</x:v>
      </x:c>
      <x:c r="F7" s="54" t="str">
        <x:v>revise</x:v>
      </x:c>
      <x:c r="G7" s="54" t="str">
        <x:v>sufficient</x:v>
      </x:c>
      <x:c r="H7" s="54" t="str">
        <x:v>minor_revision</x:v>
      </x:c>
      <x:c r="I7" s="54" t="str">
        <x:v>correct</x:v>
      </x:c>
      <x:c r="J7" s="54" t="str">
        <x:v>complete</x:v>
      </x:c>
      <x:c r="K7" s="54" t="str">
        <x:v>revise</x:v>
      </x:c>
      <x:c r="L7" s="55" t="str">
        <x:v>concordant_revise_without_proposed_text</x:v>
      </x:c>
      <x:c r="M7" s="55" t="str">
        <x:v>Maraş Tarhanasının kurutulmak üzere serildiği geleneksel hasır örtüye ne ad verilir?</x:v>
      </x:c>
      <x:c r="N7" s="55" t="str">
        <x:v>resolved_by_independent_adjudication</x:v>
      </x:c>
      <x:c r="O7" s="55" t="str">
        <x:v>Adjudicator wording note transcribed by lead researcher; source-checked on 2026-08-25. Gold and accepted answers unchanged.</x:v>
      </x:c>
    </x:row>
    <x:row r="8" ht="39" customHeight="1">
      <x:c r="A8" s="56" t="str">
        <x:v>D003</x:v>
      </x:c>
      <x:c r="B8" s="54" t="str">
        <x:v>sufficient</x:v>
      </x:c>
      <x:c r="C8" s="54" t="str">
        <x:v>clear</x:v>
      </x:c>
      <x:c r="D8" s="54" t="str">
        <x:v>correct</x:v>
      </x:c>
      <x:c r="E8" s="54" t="str">
        <x:v>complete</x:v>
      </x:c>
      <x:c r="F8" s="54" t="str">
        <x:v>accept</x:v>
      </x:c>
      <x:c r="G8" s="54" t="str">
        <x:v>sufficient</x:v>
      </x:c>
      <x:c r="H8" s="54" t="str">
        <x:v>clear</x:v>
      </x:c>
      <x:c r="I8" s="54" t="str">
        <x:v>correct</x:v>
      </x:c>
      <x:c r="J8" s="54" t="str">
        <x:v>complete</x:v>
      </x:c>
      <x:c r="K8" s="54" t="str">
        <x:v>accept</x:v>
      </x:c>
      <x:c r="L8" s="55" t="str">
        <x:v>none</x:v>
      </x:c>
      <x:c r="M8" s="55" t="str">
        <x:v>Accept as written.</x:v>
      </x:c>
      <x:c r="N8" s="55" t="str">
        <x:v>resolved_by_concordant_review</x:v>
      </x:c>
      <x:c r="O8" s="55" t="str">
        <x:v>Both independent reviewers marked all required dimensions positively.</x:v>
      </x:c>
    </x:row>
    <x:row r="9" ht="39" customHeight="1">
      <x:c r="A9" s="56" t="str">
        <x:v>D004</x:v>
      </x:c>
      <x:c r="B9" s="54" t="str">
        <x:v>sufficient</x:v>
      </x:c>
      <x:c r="C9" s="54" t="str">
        <x:v>clear</x:v>
      </x:c>
      <x:c r="D9" s="54" t="str">
        <x:v>correct</x:v>
      </x:c>
      <x:c r="E9" s="54" t="str">
        <x:v>complete</x:v>
      </x:c>
      <x:c r="F9" s="54" t="str">
        <x:v>accept</x:v>
      </x:c>
      <x:c r="G9" s="54" t="str">
        <x:v>sufficient</x:v>
      </x:c>
      <x:c r="H9" s="54" t="str">
        <x:v>clear</x:v>
      </x:c>
      <x:c r="I9" s="54" t="str">
        <x:v>correct</x:v>
      </x:c>
      <x:c r="J9" s="54" t="str">
        <x:v>complete</x:v>
      </x:c>
      <x:c r="K9" s="54" t="str">
        <x:v>accept</x:v>
      </x:c>
      <x:c r="L9" s="55" t="str">
        <x:v>none</x:v>
      </x:c>
      <x:c r="M9" s="55" t="str">
        <x:v>Accept as written.</x:v>
      </x:c>
      <x:c r="N9" s="55" t="str">
        <x:v>resolved_by_concordant_review</x:v>
      </x:c>
      <x:c r="O9" s="55" t="str">
        <x:v>Both independent reviewers marked all required dimensions positively.</x:v>
      </x:c>
    </x:row>
    <x:row r="10" ht="39" customHeight="1">
      <x:c r="A10" s="56" t="str">
        <x:v>D005</x:v>
      </x:c>
      <x:c r="B10" s="54" t="str">
        <x:v>sufficient</x:v>
      </x:c>
      <x:c r="C10" s="54" t="str">
        <x:v>clear</x:v>
      </x:c>
      <x:c r="D10" s="54" t="str">
        <x:v>correct</x:v>
      </x:c>
      <x:c r="E10" s="54" t="str">
        <x:v>complete</x:v>
      </x:c>
      <x:c r="F10" s="54" t="str">
        <x:v>accept</x:v>
      </x:c>
      <x:c r="G10" s="54" t="str">
        <x:v>sufficient</x:v>
      </x:c>
      <x:c r="H10" s="54" t="str">
        <x:v>clear</x:v>
      </x:c>
      <x:c r="I10" s="54" t="str">
        <x:v>correct</x:v>
      </x:c>
      <x:c r="J10" s="54" t="str">
        <x:v>complete</x:v>
      </x:c>
      <x:c r="K10" s="54" t="str">
        <x:v>accept</x:v>
      </x:c>
      <x:c r="L10" s="55" t="str">
        <x:v>none</x:v>
      </x:c>
      <x:c r="M10" s="55" t="str">
        <x:v>Accept as written.</x:v>
      </x:c>
      <x:c r="N10" s="55" t="str">
        <x:v>resolved_by_concordant_review</x:v>
      </x:c>
      <x:c r="O10" s="55" t="str">
        <x:v>Both independent reviewers marked all required dimensions positively.</x:v>
      </x:c>
    </x:row>
    <x:row r="11" ht="39" customHeight="1">
      <x:c r="A11" s="56" t="str">
        <x:v>D006</x:v>
      </x:c>
      <x:c r="B11" s="54" t="str">
        <x:v>sufficient</x:v>
      </x:c>
      <x:c r="C11" s="54" t="str">
        <x:v>clear</x:v>
      </x:c>
      <x:c r="D11" s="54" t="str">
        <x:v>correct</x:v>
      </x:c>
      <x:c r="E11" s="54" t="str">
        <x:v>complete</x:v>
      </x:c>
      <x:c r="F11" s="54" t="str">
        <x:v>accept</x:v>
      </x:c>
      <x:c r="G11" s="54" t="str">
        <x:v>sufficient</x:v>
      </x:c>
      <x:c r="H11" s="54" t="str">
        <x:v>clear</x:v>
      </x:c>
      <x:c r="I11" s="54" t="str">
        <x:v>correct</x:v>
      </x:c>
      <x:c r="J11" s="54" t="str">
        <x:v>complete</x:v>
      </x:c>
      <x:c r="K11" s="54" t="str">
        <x:v>accept</x:v>
      </x:c>
      <x:c r="L11" s="55" t="str">
        <x:v>none</x:v>
      </x:c>
      <x:c r="M11" s="55" t="str">
        <x:v>Accept as written.</x:v>
      </x:c>
      <x:c r="N11" s="55" t="str">
        <x:v>resolved_by_concordant_review</x:v>
      </x:c>
      <x:c r="O11" s="55" t="str">
        <x:v>Both independent reviewers marked all required dimensions positively.</x:v>
      </x:c>
    </x:row>
    <x:row r="12" ht="39" customHeight="1">
      <x:c r="A12" s="56" t="str">
        <x:v>D007</x:v>
      </x:c>
      <x:c r="B12" s="54" t="str">
        <x:v>sufficient</x:v>
      </x:c>
      <x:c r="C12" s="54" t="str">
        <x:v>clear</x:v>
      </x:c>
      <x:c r="D12" s="54" t="str">
        <x:v>correct</x:v>
      </x:c>
      <x:c r="E12" s="54" t="str">
        <x:v>complete</x:v>
      </x:c>
      <x:c r="F12" s="54" t="str">
        <x:v>accept</x:v>
      </x:c>
      <x:c r="G12" s="54" t="str">
        <x:v>sufficient</x:v>
      </x:c>
      <x:c r="H12" s="54" t="str">
        <x:v>clear</x:v>
      </x:c>
      <x:c r="I12" s="54" t="str">
        <x:v>correct</x:v>
      </x:c>
      <x:c r="J12" s="54" t="str">
        <x:v>complete</x:v>
      </x:c>
      <x:c r="K12" s="54" t="str">
        <x:v>accept</x:v>
      </x:c>
      <x:c r="L12" s="55" t="str">
        <x:v>none</x:v>
      </x:c>
      <x:c r="M12" s="55" t="str">
        <x:v>Accept as written.</x:v>
      </x:c>
      <x:c r="N12" s="55" t="str">
        <x:v>resolved_by_concordant_review</x:v>
      </x:c>
      <x:c r="O12" s="55" t="str">
        <x:v>Both independent reviewers marked all required dimensions positively.</x:v>
      </x:c>
    </x:row>
    <x:row r="13" ht="39" customHeight="1">
      <x:c r="A13" s="56" t="str">
        <x:v>D008</x:v>
      </x:c>
      <x:c r="B13" s="54" t="str">
        <x:v>sufficient</x:v>
      </x:c>
      <x:c r="C13" s="54" t="str">
        <x:v>clear</x:v>
      </x:c>
      <x:c r="D13" s="54" t="str">
        <x:v>correct</x:v>
      </x:c>
      <x:c r="E13" s="54" t="str">
        <x:v>complete</x:v>
      </x:c>
      <x:c r="F13" s="54" t="str">
        <x:v>accept</x:v>
      </x:c>
      <x:c r="G13" s="54" t="str">
        <x:v>sufficient</x:v>
      </x:c>
      <x:c r="H13" s="54" t="str">
        <x:v>clear</x:v>
      </x:c>
      <x:c r="I13" s="54" t="str">
        <x:v>correct</x:v>
      </x:c>
      <x:c r="J13" s="54" t="str">
        <x:v>complete</x:v>
      </x:c>
      <x:c r="K13" s="54" t="str">
        <x:v>accept</x:v>
      </x:c>
      <x:c r="L13" s="55" t="str">
        <x:v>none</x:v>
      </x:c>
      <x:c r="M13" s="55" t="str">
        <x:v>Accept as written.</x:v>
      </x:c>
      <x:c r="N13" s="55" t="str">
        <x:v>resolved_by_concordant_review</x:v>
      </x:c>
      <x:c r="O13" s="55" t="str">
        <x:v>Both independent reviewers marked all required dimensions positively.</x:v>
      </x:c>
    </x:row>
    <x:row r="14" ht="39" customHeight="1">
      <x:c r="A14" s="56" t="str">
        <x:v>D009</x:v>
      </x:c>
      <x:c r="B14" s="54" t="str">
        <x:v>sufficient</x:v>
      </x:c>
      <x:c r="C14" s="54" t="str">
        <x:v>clear</x:v>
      </x:c>
      <x:c r="D14" s="54" t="str">
        <x:v>correct</x:v>
      </x:c>
      <x:c r="E14" s="54" t="str">
        <x:v>complete</x:v>
      </x:c>
      <x:c r="F14" s="54" t="str">
        <x:v>accept</x:v>
      </x:c>
      <x:c r="G14" s="54" t="str">
        <x:v>sufficient</x:v>
      </x:c>
      <x:c r="H14" s="54" t="str">
        <x:v>clear</x:v>
      </x:c>
      <x:c r="I14" s="54" t="str">
        <x:v>correct</x:v>
      </x:c>
      <x:c r="J14" s="54" t="str">
        <x:v>complete</x:v>
      </x:c>
      <x:c r="K14" s="54" t="str">
        <x:v>accept</x:v>
      </x:c>
      <x:c r="L14" s="55" t="str">
        <x:v>none</x:v>
      </x:c>
      <x:c r="M14" s="55" t="str">
        <x:v>Accept as written.</x:v>
      </x:c>
      <x:c r="N14" s="55" t="str">
        <x:v>resolved_by_concordant_review</x:v>
      </x:c>
      <x:c r="O14" s="55" t="str">
        <x:v>Both independent reviewers marked all required dimensions positively.</x:v>
      </x:c>
    </x:row>
    <x:row r="15" ht="39" customHeight="1">
      <x:c r="A15" s="56" t="str">
        <x:v>D010</x:v>
      </x:c>
      <x:c r="B15" s="54" t="str">
        <x:v>sufficient</x:v>
      </x:c>
      <x:c r="C15" s="54" t="str">
        <x:v>clear</x:v>
      </x:c>
      <x:c r="D15" s="54" t="str">
        <x:v>correct</x:v>
      </x:c>
      <x:c r="E15" s="54" t="str">
        <x:v>complete</x:v>
      </x:c>
      <x:c r="F15" s="54" t="str">
        <x:v>accept</x:v>
      </x:c>
      <x:c r="G15" s="54" t="str">
        <x:v>sufficient</x:v>
      </x:c>
      <x:c r="H15" s="54" t="str">
        <x:v>clear</x:v>
      </x:c>
      <x:c r="I15" s="54" t="str">
        <x:v>correct</x:v>
      </x:c>
      <x:c r="J15" s="54" t="str">
        <x:v>complete</x:v>
      </x:c>
      <x:c r="K15" s="54" t="str">
        <x:v>accept</x:v>
      </x:c>
      <x:c r="L15" s="55" t="str">
        <x:v>none</x:v>
      </x:c>
      <x:c r="M15" s="55" t="str">
        <x:v>Accept as written.</x:v>
      </x:c>
      <x:c r="N15" s="55" t="str">
        <x:v>resolved_by_concordant_review</x:v>
      </x:c>
      <x:c r="O15" s="55" t="str">
        <x:v>Both independent reviewers marked all required dimensions positively.</x:v>
      </x:c>
    </x:row>
    <x:row r="16" ht="39" customHeight="1">
      <x:c r="A16" s="56" t="str">
        <x:v>D011</x:v>
      </x:c>
      <x:c r="B16" s="54" t="str">
        <x:v>sufficient</x:v>
      </x:c>
      <x:c r="C16" s="54" t="str">
        <x:v>clear</x:v>
      </x:c>
      <x:c r="D16" s="54" t="str">
        <x:v>correct</x:v>
      </x:c>
      <x:c r="E16" s="54" t="str">
        <x:v>complete</x:v>
      </x:c>
      <x:c r="F16" s="54" t="str">
        <x:v>accept</x:v>
      </x:c>
      <x:c r="G16" s="54" t="str">
        <x:v>sufficient</x:v>
      </x:c>
      <x:c r="H16" s="54" t="str">
        <x:v>clear</x:v>
      </x:c>
      <x:c r="I16" s="54" t="str">
        <x:v>correct</x:v>
      </x:c>
      <x:c r="J16" s="54" t="str">
        <x:v>complete</x:v>
      </x:c>
      <x:c r="K16" s="54" t="str">
        <x:v>accept</x:v>
      </x:c>
      <x:c r="L16" s="55" t="str">
        <x:v>none</x:v>
      </x:c>
      <x:c r="M16" s="55" t="str">
        <x:v>Accept as written.</x:v>
      </x:c>
      <x:c r="N16" s="55" t="str">
        <x:v>resolved_by_concordant_review</x:v>
      </x:c>
      <x:c r="O16" s="55" t="str">
        <x:v>Both independent reviewers marked all required dimensions positively.</x:v>
      </x:c>
    </x:row>
    <x:row r="17" ht="39" customHeight="1">
      <x:c r="A17" s="56" t="str">
        <x:v>D012</x:v>
      </x:c>
      <x:c r="B17" s="54" t="str">
        <x:v>sufficient</x:v>
      </x:c>
      <x:c r="C17" s="54" t="str">
        <x:v>clear</x:v>
      </x:c>
      <x:c r="D17" s="54" t="str">
        <x:v>correct</x:v>
      </x:c>
      <x:c r="E17" s="54" t="str">
        <x:v>complete</x:v>
      </x:c>
      <x:c r="F17" s="54" t="str">
        <x:v>accept</x:v>
      </x:c>
      <x:c r="G17" s="54" t="str">
        <x:v>sufficient</x:v>
      </x:c>
      <x:c r="H17" s="54" t="str">
        <x:v>clear</x:v>
      </x:c>
      <x:c r="I17" s="54" t="str">
        <x:v>correct</x:v>
      </x:c>
      <x:c r="J17" s="54" t="str">
        <x:v>complete</x:v>
      </x:c>
      <x:c r="K17" s="54" t="str">
        <x:v>accept</x:v>
      </x:c>
      <x:c r="L17" s="55" t="str">
        <x:v>none</x:v>
      </x:c>
      <x:c r="M17" s="55" t="str">
        <x:v>Accept as written.</x:v>
      </x:c>
      <x:c r="N17" s="55" t="str">
        <x:v>resolved_by_concordant_review</x:v>
      </x:c>
      <x:c r="O17" s="55" t="str">
        <x:v>Both independent reviewers marked all required dimensions positively.</x:v>
      </x:c>
    </x:row>
    <x:row r="18" ht="39" customHeight="1">
      <x:c r="A18" s="56" t="str">
        <x:v>D013</x:v>
      </x:c>
      <x:c r="B18" s="54" t="str">
        <x:v>sufficient</x:v>
      </x:c>
      <x:c r="C18" s="54" t="str">
        <x:v>clear</x:v>
      </x:c>
      <x:c r="D18" s="54" t="str">
        <x:v>correct</x:v>
      </x:c>
      <x:c r="E18" s="54" t="str">
        <x:v>complete</x:v>
      </x:c>
      <x:c r="F18" s="54" t="str">
        <x:v>accept</x:v>
      </x:c>
      <x:c r="G18" s="54" t="str">
        <x:v>sufficient</x:v>
      </x:c>
      <x:c r="H18" s="54" t="str">
        <x:v>clear</x:v>
      </x:c>
      <x:c r="I18" s="54" t="str">
        <x:v>correct</x:v>
      </x:c>
      <x:c r="J18" s="54" t="str">
        <x:v>complete</x:v>
      </x:c>
      <x:c r="K18" s="54" t="str">
        <x:v>accept</x:v>
      </x:c>
      <x:c r="L18" s="55" t="str">
        <x:v>none</x:v>
      </x:c>
      <x:c r="M18" s="55" t="str">
        <x:v>Accept as written.</x:v>
      </x:c>
      <x:c r="N18" s="55" t="str">
        <x:v>resolved_by_concordant_review</x:v>
      </x:c>
      <x:c r="O18" s="55" t="str">
        <x:v>Both independent reviewers marked all required dimensions positively.</x:v>
      </x:c>
    </x:row>
    <x:row r="19" ht="39" customHeight="1">
      <x:c r="A19" s="56" t="str">
        <x:v>D014</x:v>
      </x:c>
      <x:c r="B19" s="54" t="str">
        <x:v>sufficient</x:v>
      </x:c>
      <x:c r="C19" s="54" t="str">
        <x:v>clear</x:v>
      </x:c>
      <x:c r="D19" s="54" t="str">
        <x:v>correct</x:v>
      </x:c>
      <x:c r="E19" s="54" t="str">
        <x:v>complete</x:v>
      </x:c>
      <x:c r="F19" s="54" t="str">
        <x:v>accept</x:v>
      </x:c>
      <x:c r="G19" s="54" t="str">
        <x:v>sufficient</x:v>
      </x:c>
      <x:c r="H19" s="54" t="str">
        <x:v>clear</x:v>
      </x:c>
      <x:c r="I19" s="54" t="str">
        <x:v>correct</x:v>
      </x:c>
      <x:c r="J19" s="54" t="str">
        <x:v>complete</x:v>
      </x:c>
      <x:c r="K19" s="54" t="str">
        <x:v>accept</x:v>
      </x:c>
      <x:c r="L19" s="55" t="str">
        <x:v>none</x:v>
      </x:c>
      <x:c r="M19" s="55" t="str">
        <x:v>Accept as written.</x:v>
      </x:c>
      <x:c r="N19" s="55" t="str">
        <x:v>resolved_by_concordant_review</x:v>
      </x:c>
      <x:c r="O19" s="55" t="str">
        <x:v>Both independent reviewers marked all required dimensions positively.</x:v>
      </x:c>
    </x:row>
    <x:row r="20" ht="39" customHeight="1">
      <x:c r="A20" s="56" t="str">
        <x:v>D015</x:v>
      </x:c>
      <x:c r="B20" s="54" t="str">
        <x:v>sufficient</x:v>
      </x:c>
      <x:c r="C20" s="54" t="str">
        <x:v>clear</x:v>
      </x:c>
      <x:c r="D20" s="54" t="str">
        <x:v>correct</x:v>
      </x:c>
      <x:c r="E20" s="54" t="str">
        <x:v>complete</x:v>
      </x:c>
      <x:c r="F20" s="54" t="str">
        <x:v>accept</x:v>
      </x:c>
      <x:c r="G20" s="54" t="str">
        <x:v>sufficient</x:v>
      </x:c>
      <x:c r="H20" s="54" t="str">
        <x:v>clear</x:v>
      </x:c>
      <x:c r="I20" s="54" t="str">
        <x:v>correct</x:v>
      </x:c>
      <x:c r="J20" s="54" t="str">
        <x:v>complete</x:v>
      </x:c>
      <x:c r="K20" s="54" t="str">
        <x:v>accept</x:v>
      </x:c>
      <x:c r="L20" s="55" t="str">
        <x:v>none</x:v>
      </x:c>
      <x:c r="M20" s="55" t="str">
        <x:v>Accept as written.</x:v>
      </x:c>
      <x:c r="N20" s="55" t="str">
        <x:v>resolved_by_concordant_review</x:v>
      </x:c>
      <x:c r="O20" s="55" t="str">
        <x:v>Both independent reviewers marked all required dimensions positively.</x:v>
      </x:c>
    </x:row>
    <x:row r="21" ht="39" customHeight="1">
      <x:c r="A21" s="56" t="str">
        <x:v>D016</x:v>
      </x:c>
      <x:c r="B21" s="54" t="str">
        <x:v>sufficient</x:v>
      </x:c>
      <x:c r="C21" s="54" t="str">
        <x:v>clear</x:v>
      </x:c>
      <x:c r="D21" s="54" t="str">
        <x:v>correct</x:v>
      </x:c>
      <x:c r="E21" s="54" t="str">
        <x:v>complete</x:v>
      </x:c>
      <x:c r="F21" s="54" t="str">
        <x:v>accept</x:v>
      </x:c>
      <x:c r="G21" s="54" t="str">
        <x:v>sufficient</x:v>
      </x:c>
      <x:c r="H21" s="54" t="str">
        <x:v>clear</x:v>
      </x:c>
      <x:c r="I21" s="54" t="str">
        <x:v>correct</x:v>
      </x:c>
      <x:c r="J21" s="54" t="str">
        <x:v>complete</x:v>
      </x:c>
      <x:c r="K21" s="54" t="str">
        <x:v>accept</x:v>
      </x:c>
      <x:c r="L21" s="55" t="str">
        <x:v>none</x:v>
      </x:c>
      <x:c r="M21" s="55" t="str">
        <x:v>Accept as written.</x:v>
      </x:c>
      <x:c r="N21" s="55" t="str">
        <x:v>resolved_by_concordant_review</x:v>
      </x:c>
      <x:c r="O21" s="55" t="str">
        <x:v>Both independent reviewers marked all required dimensions positively.</x:v>
      </x:c>
    </x:row>
    <x:row r="22" ht="39" customHeight="1">
      <x:c r="A22" s="56" t="str">
        <x:v>D017</x:v>
      </x:c>
      <x:c r="B22" s="54" t="str">
        <x:v>sufficient</x:v>
      </x:c>
      <x:c r="C22" s="54" t="str">
        <x:v>clear</x:v>
      </x:c>
      <x:c r="D22" s="54" t="str">
        <x:v>correct</x:v>
      </x:c>
      <x:c r="E22" s="54" t="str">
        <x:v>complete</x:v>
      </x:c>
      <x:c r="F22" s="54" t="str">
        <x:v>accept</x:v>
      </x:c>
      <x:c r="G22" s="54" t="str">
        <x:v>sufficient</x:v>
      </x:c>
      <x:c r="H22" s="54" t="str">
        <x:v>clear</x:v>
      </x:c>
      <x:c r="I22" s="54" t="str">
        <x:v>correct</x:v>
      </x:c>
      <x:c r="J22" s="54" t="str">
        <x:v>complete</x:v>
      </x:c>
      <x:c r="K22" s="54" t="str">
        <x:v>accept</x:v>
      </x:c>
      <x:c r="L22" s="55" t="str">
        <x:v>none</x:v>
      </x:c>
      <x:c r="M22" s="55" t="str">
        <x:v>Accept as written.</x:v>
      </x:c>
      <x:c r="N22" s="55" t="str">
        <x:v>resolved_by_concordant_review</x:v>
      </x:c>
      <x:c r="O22" s="55" t="str">
        <x:v>Both independent reviewers marked all required dimensions positively.</x:v>
      </x:c>
    </x:row>
    <x:row r="23" ht="39" customHeight="1">
      <x:c r="A23" s="56" t="str">
        <x:v>D018</x:v>
      </x:c>
      <x:c r="B23" s="54" t="str">
        <x:v>sufficient</x:v>
      </x:c>
      <x:c r="C23" s="54" t="str">
        <x:v>clear</x:v>
      </x:c>
      <x:c r="D23" s="54" t="str">
        <x:v>correct</x:v>
      </x:c>
      <x:c r="E23" s="54" t="str">
        <x:v>complete</x:v>
      </x:c>
      <x:c r="F23" s="54" t="str">
        <x:v>accept</x:v>
      </x:c>
      <x:c r="G23" s="54" t="str">
        <x:v>sufficient</x:v>
      </x:c>
      <x:c r="H23" s="54" t="str">
        <x:v>clear</x:v>
      </x:c>
      <x:c r="I23" s="54" t="str">
        <x:v>correct</x:v>
      </x:c>
      <x:c r="J23" s="54" t="str">
        <x:v>complete</x:v>
      </x:c>
      <x:c r="K23" s="54" t="str">
        <x:v>accept</x:v>
      </x:c>
      <x:c r="L23" s="55" t="str">
        <x:v>none</x:v>
      </x:c>
      <x:c r="M23" s="55" t="str">
        <x:v>Accept as written.</x:v>
      </x:c>
      <x:c r="N23" s="55" t="str">
        <x:v>resolved_by_concordant_review</x:v>
      </x:c>
      <x:c r="O23" s="55" t="str">
        <x:v>Both independent reviewers marked all required dimensions positively.</x:v>
      </x:c>
    </x:row>
    <x:row r="24" ht="39" customHeight="1">
      <x:c r="A24" s="56" t="str">
        <x:v>D019</x:v>
      </x:c>
      <x:c r="B24" s="54" t="str">
        <x:v>sufficient</x:v>
      </x:c>
      <x:c r="C24" s="54" t="str">
        <x:v>clear</x:v>
      </x:c>
      <x:c r="D24" s="54" t="str">
        <x:v>correct</x:v>
      </x:c>
      <x:c r="E24" s="54" t="str">
        <x:v>complete</x:v>
      </x:c>
      <x:c r="F24" s="54" t="str">
        <x:v>accept</x:v>
      </x:c>
      <x:c r="G24" s="54" t="str">
        <x:v>sufficient</x:v>
      </x:c>
      <x:c r="H24" s="54" t="str">
        <x:v>clear</x:v>
      </x:c>
      <x:c r="I24" s="54" t="str">
        <x:v>correct</x:v>
      </x:c>
      <x:c r="J24" s="54" t="str">
        <x:v>complete</x:v>
      </x:c>
      <x:c r="K24" s="54" t="str">
        <x:v>accept</x:v>
      </x:c>
      <x:c r="L24" s="55" t="str">
        <x:v>none</x:v>
      </x:c>
      <x:c r="M24" s="55" t="str">
        <x:v>Accept as written.</x:v>
      </x:c>
      <x:c r="N24" s="55" t="str">
        <x:v>resolved_by_concordant_review</x:v>
      </x:c>
      <x:c r="O24" s="55" t="str">
        <x:v>Both independent reviewers marked all required dimensions positively.</x:v>
      </x:c>
    </x:row>
    <x:row r="25" ht="39" customHeight="1">
      <x:c r="A25" s="56" t="str">
        <x:v>D020</x:v>
      </x:c>
      <x:c r="B25" s="54" t="str">
        <x:v>sufficient</x:v>
      </x:c>
      <x:c r="C25" s="54" t="str">
        <x:v>clear</x:v>
      </x:c>
      <x:c r="D25" s="54" t="str">
        <x:v>correct</x:v>
      </x:c>
      <x:c r="E25" s="54" t="str">
        <x:v>complete</x:v>
      </x:c>
      <x:c r="F25" s="54" t="str">
        <x:v>accept</x:v>
      </x:c>
      <x:c r="G25" s="54" t="str">
        <x:v>sufficient</x:v>
      </x:c>
      <x:c r="H25" s="54" t="str">
        <x:v>clear</x:v>
      </x:c>
      <x:c r="I25" s="54" t="str">
        <x:v>correct</x:v>
      </x:c>
      <x:c r="J25" s="54" t="str">
        <x:v>complete</x:v>
      </x:c>
      <x:c r="K25" s="54" t="str">
        <x:v>accept</x:v>
      </x:c>
      <x:c r="L25" s="55" t="str">
        <x:v>none</x:v>
      </x:c>
      <x:c r="M25" s="55" t="str">
        <x:v>Accept as written.</x:v>
      </x:c>
      <x:c r="N25" s="55" t="str">
        <x:v>resolved_by_concordant_review</x:v>
      </x:c>
      <x:c r="O25" s="55" t="str">
        <x:v>Both independent reviewers marked all required dimensions positively.</x:v>
      </x:c>
    </x:row>
    <x:row r="26" ht="39" customHeight="1">
      <x:c r="A26" s="56" t="str">
        <x:v>D021</x:v>
      </x:c>
      <x:c r="B26" s="54" t="str">
        <x:v>sufficient</x:v>
      </x:c>
      <x:c r="C26" s="54" t="str">
        <x:v>minor_revision</x:v>
      </x:c>
      <x:c r="D26" s="54" t="str">
        <x:v>correct</x:v>
      </x:c>
      <x:c r="E26" s="54" t="str">
        <x:v>complete</x:v>
      </x:c>
      <x:c r="F26" s="54" t="str">
        <x:v>revise</x:v>
      </x:c>
      <x:c r="G26" s="54" t="str">
        <x:v>sufficient</x:v>
      </x:c>
      <x:c r="H26" s="54" t="str">
        <x:v>minor_revision</x:v>
      </x:c>
      <x:c r="I26" s="54" t="str">
        <x:v>correct</x:v>
      </x:c>
      <x:c r="J26" s="54" t="str">
        <x:v>complete</x:v>
      </x:c>
      <x:c r="K26" s="54" t="str">
        <x:v>accept</x:v>
      </x:c>
      <x:c r="L26" s="55" t="str">
        <x:v>action_disagreement_and_clarity_concern</x:v>
      </x:c>
      <x:c r="M26" s="55" t="str">
        <x:v>Afyonkarahisar'da nişan töreninin ertesi günü yapılan geleneksel yemekli davetin adı nedir?</x:v>
      </x:c>
      <x:c r="N26" s="55" t="str">
        <x:v>resolved_by_independent_adjudication</x:v>
      </x:c>
      <x:c r="O26" s="55" t="str">
        <x:v>Adjudicator wording note transcribed by lead researcher; source-checked on 2026-08-25. Gold and accepted answers unchanged.</x:v>
      </x:c>
    </x:row>
    <x:row r="27" ht="39" customHeight="1">
      <x:c r="A27" s="56" t="str">
        <x:v>D022</x:v>
      </x:c>
      <x:c r="B27" s="54" t="str">
        <x:v>sufficient</x:v>
      </x:c>
      <x:c r="C27" s="54" t="str">
        <x:v>clear</x:v>
      </x:c>
      <x:c r="D27" s="54" t="str">
        <x:v>correct</x:v>
      </x:c>
      <x:c r="E27" s="54" t="str">
        <x:v>complete</x:v>
      </x:c>
      <x:c r="F27" s="54" t="str">
        <x:v>accept</x:v>
      </x:c>
      <x:c r="G27" s="54" t="str">
        <x:v>sufficient</x:v>
      </x:c>
      <x:c r="H27" s="54" t="str">
        <x:v>minor_revision</x:v>
      </x:c>
      <x:c r="I27" s="54" t="str">
        <x:v>correct</x:v>
      </x:c>
      <x:c r="J27" s="54" t="str">
        <x:v>complete</x:v>
      </x:c>
      <x:c r="K27" s="54" t="str">
        <x:v>accept</x:v>
      </x:c>
      <x:c r="L27" s="55" t="str">
        <x:v>field_level_clarity_concern</x:v>
      </x:c>
      <x:c r="M27" s="55" t="str">
        <x:v>Afyon mutfak kültüründe yer alan sıra yemeğinde, yemeklerin sofraya geliş sırasını düzenleme işine ne ad verilir?</x:v>
      </x:c>
      <x:c r="N27" s="55" t="str">
        <x:v>resolved_by_independent_adjudication</x:v>
      </x:c>
      <x:c r="O27" s="55" t="str">
        <x:v>Adjudicator wording note transcribed by lead researcher; source-checked on 2026-08-25. Gold and accepted answers unchanged.</x:v>
      </x:c>
    </x:row>
    <x:row r="28" ht="39" customHeight="1">
      <x:c r="A28" s="56" t="str">
        <x:v>D023</x:v>
      </x:c>
      <x:c r="B28" s="54" t="str">
        <x:v>sufficient</x:v>
      </x:c>
      <x:c r="C28" s="54" t="str">
        <x:v>clear</x:v>
      </x:c>
      <x:c r="D28" s="54" t="str">
        <x:v>correct</x:v>
      </x:c>
      <x:c r="E28" s="54" t="str">
        <x:v>complete</x:v>
      </x:c>
      <x:c r="F28" s="54" t="str">
        <x:v>accept</x:v>
      </x:c>
      <x:c r="G28" s="54" t="str">
        <x:v>sufficient</x:v>
      </x:c>
      <x:c r="H28" s="54" t="str">
        <x:v>clear</x:v>
      </x:c>
      <x:c r="I28" s="54" t="str">
        <x:v>correct</x:v>
      </x:c>
      <x:c r="J28" s="54" t="str">
        <x:v>complete</x:v>
      </x:c>
      <x:c r="K28" s="54" t="str">
        <x:v>accept</x:v>
      </x:c>
      <x:c r="L28" s="55" t="str">
        <x:v>none</x:v>
      </x:c>
      <x:c r="M28" s="55" t="str">
        <x:v>Accept as written.</x:v>
      </x:c>
      <x:c r="N28" s="55" t="str">
        <x:v>resolved_by_concordant_review</x:v>
      </x:c>
      <x:c r="O28" s="55" t="str">
        <x:v>Both independent reviewers marked all required dimensions positively.</x:v>
      </x:c>
    </x:row>
    <x:row r="29" ht="39" customHeight="1">
      <x:c r="A29" s="56" t="str">
        <x:v>D024</x:v>
      </x:c>
      <x:c r="B29" s="54" t="str">
        <x:v>sufficient</x:v>
      </x:c>
      <x:c r="C29" s="54" t="str">
        <x:v>clear</x:v>
      </x:c>
      <x:c r="D29" s="54" t="str">
        <x:v>correct</x:v>
      </x:c>
      <x:c r="E29" s="54" t="str">
        <x:v>complete</x:v>
      </x:c>
      <x:c r="F29" s="54" t="str">
        <x:v>accept</x:v>
      </x:c>
      <x:c r="G29" s="54" t="str">
        <x:v>sufficient</x:v>
      </x:c>
      <x:c r="H29" s="54" t="str">
        <x:v>clear</x:v>
      </x:c>
      <x:c r="I29" s="54" t="str">
        <x:v>correct</x:v>
      </x:c>
      <x:c r="J29" s="54" t="str">
        <x:v>complete</x:v>
      </x:c>
      <x:c r="K29" s="54" t="str">
        <x:v>accept</x:v>
      </x:c>
      <x:c r="L29" s="55" t="str">
        <x:v>none</x:v>
      </x:c>
      <x:c r="M29" s="55" t="str">
        <x:v>Accept as written.</x:v>
      </x:c>
      <x:c r="N29" s="55" t="str">
        <x:v>resolved_by_concordant_review</x:v>
      </x:c>
      <x:c r="O29" s="55" t="str">
        <x:v>Both independent reviewers marked all required dimensions positively.</x:v>
      </x:c>
    </x:row>
    <x:row r="30" ht="39" customHeight="1">
      <x:c r="A30" s="56" t="str">
        <x:v>D025</x:v>
      </x:c>
      <x:c r="B30" s="54" t="str">
        <x:v>sufficient</x:v>
      </x:c>
      <x:c r="C30" s="54" t="str">
        <x:v>clear</x:v>
      </x:c>
      <x:c r="D30" s="54" t="str">
        <x:v>correct</x:v>
      </x:c>
      <x:c r="E30" s="54" t="str">
        <x:v>complete</x:v>
      </x:c>
      <x:c r="F30" s="54" t="str">
        <x:v>accept</x:v>
      </x:c>
      <x:c r="G30" s="54" t="str">
        <x:v>sufficient</x:v>
      </x:c>
      <x:c r="H30" s="54" t="str">
        <x:v>clear</x:v>
      </x:c>
      <x:c r="I30" s="54" t="str">
        <x:v>correct</x:v>
      </x:c>
      <x:c r="J30" s="54" t="str">
        <x:v>complete</x:v>
      </x:c>
      <x:c r="K30" s="54" t="str">
        <x:v>accept</x:v>
      </x:c>
      <x:c r="L30" s="55" t="str">
        <x:v>none</x:v>
      </x:c>
      <x:c r="M30" s="55" t="str">
        <x:v>Accept as written.</x:v>
      </x:c>
      <x:c r="N30" s="55" t="str">
        <x:v>resolved_by_concordant_review</x:v>
      </x:c>
      <x:c r="O30" s="55" t="str">
        <x:v>Both independent reviewers marked all required dimensions positively.</x:v>
      </x:c>
    </x:row>
    <x:row r="31" ht="39" customHeight="1">
      <x:c r="A31" s="56" t="str">
        <x:v>D026</x:v>
      </x:c>
      <x:c r="B31" s="54" t="str">
        <x:v>sufficient</x:v>
      </x:c>
      <x:c r="C31" s="54" t="str">
        <x:v>clear</x:v>
      </x:c>
      <x:c r="D31" s="54" t="str">
        <x:v>correct</x:v>
      </x:c>
      <x:c r="E31" s="54" t="str">
        <x:v>complete</x:v>
      </x:c>
      <x:c r="F31" s="54" t="str">
        <x:v>accept</x:v>
      </x:c>
      <x:c r="G31" s="54" t="str">
        <x:v>sufficient</x:v>
      </x:c>
      <x:c r="H31" s="54" t="str">
        <x:v>clear</x:v>
      </x:c>
      <x:c r="I31" s="54" t="str">
        <x:v>correct</x:v>
      </x:c>
      <x:c r="J31" s="54" t="str">
        <x:v>complete</x:v>
      </x:c>
      <x:c r="K31" s="54" t="str">
        <x:v>accept</x:v>
      </x:c>
      <x:c r="L31" s="55" t="str">
        <x:v>none</x:v>
      </x:c>
      <x:c r="M31" s="55" t="str">
        <x:v>Accept as written.</x:v>
      </x:c>
      <x:c r="N31" s="55" t="str">
        <x:v>resolved_by_concordant_review</x:v>
      </x:c>
      <x:c r="O31" s="55" t="str">
        <x:v>Both independent reviewers marked all required dimensions positively.</x:v>
      </x:c>
    </x:row>
    <x:row r="32" ht="39" customHeight="1">
      <x:c r="A32" s="56" t="str">
        <x:v>D027</x:v>
      </x:c>
      <x:c r="B32" s="54" t="str">
        <x:v>sufficient</x:v>
      </x:c>
      <x:c r="C32" s="54" t="str">
        <x:v>clear</x:v>
      </x:c>
      <x:c r="D32" s="54" t="str">
        <x:v>correct</x:v>
      </x:c>
      <x:c r="E32" s="54" t="str">
        <x:v>complete</x:v>
      </x:c>
      <x:c r="F32" s="54" t="str">
        <x:v>accept</x:v>
      </x:c>
      <x:c r="G32" s="54" t="str">
        <x:v>sufficient</x:v>
      </x:c>
      <x:c r="H32" s="54" t="str">
        <x:v>clear</x:v>
      </x:c>
      <x:c r="I32" s="54" t="str">
        <x:v>correct</x:v>
      </x:c>
      <x:c r="J32" s="54" t="str">
        <x:v>complete</x:v>
      </x:c>
      <x:c r="K32" s="54" t="str">
        <x:v>accept</x:v>
      </x:c>
      <x:c r="L32" s="55" t="str">
        <x:v>none</x:v>
      </x:c>
      <x:c r="M32" s="55" t="str">
        <x:v>Accept as written.</x:v>
      </x:c>
      <x:c r="N32" s="55" t="str">
        <x:v>resolved_by_concordant_review</x:v>
      </x:c>
      <x:c r="O32" s="55" t="str">
        <x:v>Both independent reviewers marked all required dimensions positively.</x:v>
      </x:c>
    </x:row>
    <x:row r="33" ht="39" customHeight="1">
      <x:c r="A33" s="56" t="str">
        <x:v>D028</x:v>
      </x:c>
      <x:c r="B33" s="54" t="str">
        <x:v>sufficient</x:v>
      </x:c>
      <x:c r="C33" s="54" t="str">
        <x:v>clear</x:v>
      </x:c>
      <x:c r="D33" s="54" t="str">
        <x:v>correct</x:v>
      </x:c>
      <x:c r="E33" s="54" t="str">
        <x:v>complete</x:v>
      </x:c>
      <x:c r="F33" s="54" t="str">
        <x:v>accept</x:v>
      </x:c>
      <x:c r="G33" s="54" t="str">
        <x:v>sufficient</x:v>
      </x:c>
      <x:c r="H33" s="54" t="str">
        <x:v>clear</x:v>
      </x:c>
      <x:c r="I33" s="54" t="str">
        <x:v>correct</x:v>
      </x:c>
      <x:c r="J33" s="54" t="str">
        <x:v>complete</x:v>
      </x:c>
      <x:c r="K33" s="54" t="str">
        <x:v>accept</x:v>
      </x:c>
      <x:c r="L33" s="55" t="str">
        <x:v>none</x:v>
      </x:c>
      <x:c r="M33" s="55" t="str">
        <x:v>Accept as written.</x:v>
      </x:c>
      <x:c r="N33" s="55" t="str">
        <x:v>resolved_by_concordant_review</x:v>
      </x:c>
      <x:c r="O33" s="55" t="str">
        <x:v>Both independent reviewers marked all required dimensions positively.</x:v>
      </x:c>
    </x:row>
    <x:row r="34" ht="39" customHeight="1">
      <x:c r="A34" s="56" t="str">
        <x:v>D029</x:v>
      </x:c>
      <x:c r="B34" s="54" t="str">
        <x:v>sufficient</x:v>
      </x:c>
      <x:c r="C34" s="54" t="str">
        <x:v>clear</x:v>
      </x:c>
      <x:c r="D34" s="54" t="str">
        <x:v>correct</x:v>
      </x:c>
      <x:c r="E34" s="54" t="str">
        <x:v>complete</x:v>
      </x:c>
      <x:c r="F34" s="54" t="str">
        <x:v>accept</x:v>
      </x:c>
      <x:c r="G34" s="54" t="str">
        <x:v>sufficient</x:v>
      </x:c>
      <x:c r="H34" s="54" t="str">
        <x:v>clear</x:v>
      </x:c>
      <x:c r="I34" s="54" t="str">
        <x:v>correct</x:v>
      </x:c>
      <x:c r="J34" s="54" t="str">
        <x:v>complete</x:v>
      </x:c>
      <x:c r="K34" s="54" t="str">
        <x:v>accept</x:v>
      </x:c>
      <x:c r="L34" s="55" t="str">
        <x:v>none</x:v>
      </x:c>
      <x:c r="M34" s="55" t="str">
        <x:v>Accept as written.</x:v>
      </x:c>
      <x:c r="N34" s="55" t="str">
        <x:v>resolved_by_concordant_review</x:v>
      </x:c>
      <x:c r="O34" s="55" t="str">
        <x:v>Both independent reviewers marked all required dimensions positively.</x:v>
      </x:c>
    </x:row>
    <x:row r="35" ht="39" customHeight="1">
      <x:c r="A35" s="56" t="str">
        <x:v>D030</x:v>
      </x:c>
      <x:c r="B35" s="54" t="str">
        <x:v>sufficient</x:v>
      </x:c>
      <x:c r="C35" s="54" t="str">
        <x:v>clear</x:v>
      </x:c>
      <x:c r="D35" s="54" t="str">
        <x:v>correct</x:v>
      </x:c>
      <x:c r="E35" s="54" t="str">
        <x:v>complete</x:v>
      </x:c>
      <x:c r="F35" s="54" t="str">
        <x:v>accept</x:v>
      </x:c>
      <x:c r="G35" s="54" t="str">
        <x:v>sufficient</x:v>
      </x:c>
      <x:c r="H35" s="54" t="str">
        <x:v>clear</x:v>
      </x:c>
      <x:c r="I35" s="54" t="str">
        <x:v>correct</x:v>
      </x:c>
      <x:c r="J35" s="54" t="str">
        <x:v>complete</x:v>
      </x:c>
      <x:c r="K35" s="54" t="str">
        <x:v>accept</x:v>
      </x:c>
      <x:c r="L35" s="55" t="str">
        <x:v>none</x:v>
      </x:c>
      <x:c r="M35" s="55" t="str">
        <x:v>Accept as written.</x:v>
      </x:c>
      <x:c r="N35" s="55" t="str">
        <x:v>resolved_by_concordant_review</x:v>
      </x:c>
      <x:c r="O35" s="55" t="str">
        <x:v>Both independent reviewers marked all required dimensions positively.</x:v>
      </x:c>
    </x:row>
    <x:row r="36" ht="39" customHeight="1">
      <x:c r="A36" s="56" t="str">
        <x:v>D031</x:v>
      </x:c>
      <x:c r="B36" s="54" t="str">
        <x:v>sufficient</x:v>
      </x:c>
      <x:c r="C36" s="54" t="str">
        <x:v>clear</x:v>
      </x:c>
      <x:c r="D36" s="54" t="str">
        <x:v>correct</x:v>
      </x:c>
      <x:c r="E36" s="54" t="str">
        <x:v>complete</x:v>
      </x:c>
      <x:c r="F36" s="54" t="str">
        <x:v>accept</x:v>
      </x:c>
      <x:c r="G36" s="54" t="str">
        <x:v>sufficient</x:v>
      </x:c>
      <x:c r="H36" s="54" t="str">
        <x:v>clear</x:v>
      </x:c>
      <x:c r="I36" s="54" t="str">
        <x:v>correct</x:v>
      </x:c>
      <x:c r="J36" s="54" t="str">
        <x:v>complete</x:v>
      </x:c>
      <x:c r="K36" s="54" t="str">
        <x:v>accept</x:v>
      </x:c>
      <x:c r="L36" s="55" t="str">
        <x:v>none</x:v>
      </x:c>
      <x:c r="M36" s="55" t="str">
        <x:v>Accept as written.</x:v>
      </x:c>
      <x:c r="N36" s="55" t="str">
        <x:v>resolved_by_concordant_review</x:v>
      </x:c>
      <x:c r="O36" s="55" t="str">
        <x:v>Both independent reviewers marked all required dimensions positively.</x:v>
      </x:c>
    </x:row>
    <x:row r="37" ht="39" customHeight="1">
      <x:c r="A37" s="56" t="str">
        <x:v>D032</x:v>
      </x:c>
      <x:c r="B37" s="54" t="str">
        <x:v>sufficient</x:v>
      </x:c>
      <x:c r="C37" s="54" t="str">
        <x:v>clear</x:v>
      </x:c>
      <x:c r="D37" s="54" t="str">
        <x:v>correct</x:v>
      </x:c>
      <x:c r="E37" s="54" t="str">
        <x:v>complete</x:v>
      </x:c>
      <x:c r="F37" s="54" t="str">
        <x:v>accept</x:v>
      </x:c>
      <x:c r="G37" s="54" t="str">
        <x:v>sufficient</x:v>
      </x:c>
      <x:c r="H37" s="54" t="str">
        <x:v>clear</x:v>
      </x:c>
      <x:c r="I37" s="54" t="str">
        <x:v>correct</x:v>
      </x:c>
      <x:c r="J37" s="54" t="str">
        <x:v>complete</x:v>
      </x:c>
      <x:c r="K37" s="54" t="str">
        <x:v>accept</x:v>
      </x:c>
      <x:c r="L37" s="55" t="str">
        <x:v>none</x:v>
      </x:c>
      <x:c r="M37" s="55" t="str">
        <x:v>Accept as written.</x:v>
      </x:c>
      <x:c r="N37" s="55" t="str">
        <x:v>resolved_by_concordant_review</x:v>
      </x:c>
      <x:c r="O37" s="55" t="str">
        <x:v>Both independent reviewers marked all required dimensions positively.</x:v>
      </x:c>
    </x:row>
    <x:row r="38" ht="39" customHeight="1">
      <x:c r="A38" s="56" t="str">
        <x:v>D033</x:v>
      </x:c>
      <x:c r="B38" s="54" t="str">
        <x:v>sufficient</x:v>
      </x:c>
      <x:c r="C38" s="54" t="str">
        <x:v>clear</x:v>
      </x:c>
      <x:c r="D38" s="54" t="str">
        <x:v>correct</x:v>
      </x:c>
      <x:c r="E38" s="54" t="str">
        <x:v>complete</x:v>
      </x:c>
      <x:c r="F38" s="54" t="str">
        <x:v>accept</x:v>
      </x:c>
      <x:c r="G38" s="54" t="str">
        <x:v>sufficient</x:v>
      </x:c>
      <x:c r="H38" s="54" t="str">
        <x:v>clear</x:v>
      </x:c>
      <x:c r="I38" s="54" t="str">
        <x:v>correct</x:v>
      </x:c>
      <x:c r="J38" s="54" t="str">
        <x:v>complete</x:v>
      </x:c>
      <x:c r="K38" s="54" t="str">
        <x:v>accept</x:v>
      </x:c>
      <x:c r="L38" s="55" t="str">
        <x:v>none</x:v>
      </x:c>
      <x:c r="M38" s="55" t="str">
        <x:v>Accept as written.</x:v>
      </x:c>
      <x:c r="N38" s="55" t="str">
        <x:v>resolved_by_concordant_review</x:v>
      </x:c>
      <x:c r="O38" s="55" t="str">
        <x:v>Both independent reviewers marked all required dimensions positively.</x:v>
      </x:c>
    </x:row>
    <x:row r="39" ht="39" customHeight="1">
      <x:c r="A39" s="56" t="str">
        <x:v>D034</x:v>
      </x:c>
      <x:c r="B39" s="54" t="str">
        <x:v>sufficient</x:v>
      </x:c>
      <x:c r="C39" s="54"/>
      <x:c r="D39" s="54" t="str">
        <x:v>correct</x:v>
      </x:c>
      <x:c r="E39" s="54" t="str">
        <x:v>complete</x:v>
      </x:c>
      <x:c r="F39" s="54" t="str">
        <x:v>accept</x:v>
      </x:c>
      <x:c r="G39" s="54" t="str">
        <x:v>sufficient</x:v>
      </x:c>
      <x:c r="H39" s="54" t="str">
        <x:v>clear</x:v>
      </x:c>
      <x:c r="I39" s="54" t="str">
        <x:v>correct</x:v>
      </x:c>
      <x:c r="J39" s="54" t="str">
        <x:v>complete</x:v>
      </x:c>
      <x:c r="K39" s="54" t="str">
        <x:v>accept</x:v>
      </x:c>
      <x:c r="L39" s="55" t="str">
        <x:v>missing_required_reviewer_field</x:v>
      </x:c>
      <x:c r="M39" s="55" t="str">
        <x:v>Türkiye'de güllaç geleneksel olarak hangi ayla özdeşleşir?</x:v>
      </x:c>
      <x:c r="N39" s="55" t="str">
        <x:v>resolved_by_independent_adjudication</x:v>
      </x:c>
      <x:c r="O39" s="55" t="str">
        <x:v>Adjudicator wording note transcribed by lead researcher; source-checked on 2026-08-25. Gold and accepted answers unchanged.</x:v>
      </x:c>
    </x:row>
    <x:row r="40" ht="39" customHeight="1">
      <x:c r="A40" s="56" t="str">
        <x:v>D035</x:v>
      </x:c>
      <x:c r="B40" s="54" t="str">
        <x:v>sufficient</x:v>
      </x:c>
      <x:c r="C40" s="54" t="str">
        <x:v>clear</x:v>
      </x:c>
      <x:c r="D40" s="54" t="str">
        <x:v>correct</x:v>
      </x:c>
      <x:c r="E40" s="54" t="str">
        <x:v>complete</x:v>
      </x:c>
      <x:c r="F40" s="54" t="str">
        <x:v>accept</x:v>
      </x:c>
      <x:c r="G40" s="54" t="str">
        <x:v>sufficient</x:v>
      </x:c>
      <x:c r="H40" s="54" t="str">
        <x:v>clear</x:v>
      </x:c>
      <x:c r="I40" s="54" t="str">
        <x:v>correct</x:v>
      </x:c>
      <x:c r="J40" s="54" t="str">
        <x:v>complete</x:v>
      </x:c>
      <x:c r="K40" s="54" t="str">
        <x:v>accept</x:v>
      </x:c>
      <x:c r="L40" s="55" t="str">
        <x:v>none</x:v>
      </x:c>
      <x:c r="M40" s="55" t="str">
        <x:v>Accept as written.</x:v>
      </x:c>
      <x:c r="N40" s="55" t="str">
        <x:v>resolved_by_concordant_review</x:v>
      </x:c>
      <x:c r="O40" s="55" t="str">
        <x:v>Both independent reviewers marked all required dimensions positively.</x:v>
      </x:c>
    </x:row>
    <x:row r="41" ht="39" customHeight="1">
      <x:c r="A41" s="56" t="str">
        <x:v>D036</x:v>
      </x:c>
      <x:c r="B41" s="54" t="str">
        <x:v>sufficient</x:v>
      </x:c>
      <x:c r="C41" s="54" t="str">
        <x:v>clear</x:v>
      </x:c>
      <x:c r="D41" s="54" t="str">
        <x:v>correct</x:v>
      </x:c>
      <x:c r="E41" s="54" t="str">
        <x:v>complete</x:v>
      </x:c>
      <x:c r="F41" s="54" t="str">
        <x:v>accept</x:v>
      </x:c>
      <x:c r="G41" s="54" t="str">
        <x:v>sufficient</x:v>
      </x:c>
      <x:c r="H41" s="54" t="str">
        <x:v>clear</x:v>
      </x:c>
      <x:c r="I41" s="54" t="str">
        <x:v>correct</x:v>
      </x:c>
      <x:c r="J41" s="54" t="str">
        <x:v>complete</x:v>
      </x:c>
      <x:c r="K41" s="54" t="str">
        <x:v>accept</x:v>
      </x:c>
      <x:c r="L41" s="55" t="str">
        <x:v>none</x:v>
      </x:c>
      <x:c r="M41" s="55" t="str">
        <x:v>Accept as written.</x:v>
      </x:c>
      <x:c r="N41" s="55" t="str">
        <x:v>resolved_by_concordant_review</x:v>
      </x:c>
      <x:c r="O41" s="55" t="str">
        <x:v>Both independent reviewers marked all required dimensions positively.</x:v>
      </x:c>
    </x:row>
  </x:sheetData>
  <x:mergeCells>
    <x:mergeCell ref="A1:O1"/>
    <x:mergeCell ref="A2:O2"/>
  </x:mergeCells>
  <x:conditionalFormatting sqref="N6:N41">
    <x:cfRule type="containsText" dxfId="0" priority="1" operator="containsText" text="pending_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92.5" hidden="0" customWidth="1"/>
  </x:cols>
  <x:sheetData>
    <x:row r="1" ht="27" customHeight="1">
      <x:c r="A1" s="67" t="str">
        <x:v>TurkCuisineBench-Dev v0.2 — Freeze Record</x:v>
      </x:c>
      <x:c r="B1" s="67"/>
    </x:row>
    <x:row r="3">
      <x:c r="A3" s="73" t="str">
        <x:v>freeze_version</x:v>
      </x:c>
      <x:c r="B3" s="74" t="str">
        <x:v>v0.2</x:v>
      </x:c>
    </x:row>
    <x:row r="4">
      <x:c r="A4" s="73" t="str">
        <x:v>freeze_date</x:v>
      </x:c>
      <x:c r="B4" s="74" t="str">
        <x:v>2026-08-25</x:v>
      </x:c>
    </x:row>
    <x:row r="5">
      <x:c r="A5" s="73" t="str">
        <x:v>item_count</x:v>
      </x:c>
      <x:c r="B5" s="74" t="n">
        <x:v>36</x:v>
      </x:c>
    </x:row>
    <x:row r="6">
      <x:c r="A6" s="73" t="str">
        <x:v>reviewer_A_actions</x:v>
      </x:c>
      <x:c r="B6" s="74" t="n">
        <x:v>36</x:v>
      </x:c>
    </x:row>
    <x:row r="7">
      <x:c r="A7" s="73" t="str">
        <x:v>reviewer_B_actions</x:v>
      </x:c>
      <x:c r="B7" s="74" t="n">
        <x:v>36</x:v>
      </x:c>
    </x:row>
    <x:row r="8">
      <x:c r="A8" s="73" t="str">
        <x:v>independent_adjudication_items</x:v>
      </x:c>
      <x:c r="B8" s="74" t="str">
        <x:v>D002 | D021 | D022 | D034</x:v>
      </x:c>
    </x:row>
    <x:row r="9">
      <x:c r="A9" s="73" t="str">
        <x:v>question_wording_changes</x:v>
      </x:c>
      <x:c r="B9" s="74" t="n">
        <x:v>4</x:v>
      </x:c>
    </x:row>
    <x:row r="10">
      <x:c r="A10" s="73" t="str">
        <x:v>gold_or_accepted_answer_changes</x:v>
      </x:c>
      <x:c r="B10" s="74" t="n">
        <x:v>0</x:v>
      </x:c>
    </x:row>
    <x:row r="11">
      <x:c r="A11" s="73" t="str">
        <x:v>adjudicator_return_sha256</x:v>
      </x:c>
      <x:c r="B11" s="74" t="str">
        <x:v>0b2630d7777fac8829fa8dbf0087cca0adeedde5b36d88090627e1969aac3caf</x:v>
      </x:c>
    </x:row>
    <x:row r="12">
      <x:c r="A12" s="73" t="str">
        <x:v>frozen_xlsx_sha256</x:v>
      </x:c>
      <x:c r="B12" s="74" t="str">
        <x:v>56cc3e3493454458d8b6b1eaf6999e2d0675ed0d2d18061b6e1cf24a213d03d1</x:v>
      </x:c>
    </x:row>
    <x:row r="13">
      <x:c r="A13" s="73" t="str">
        <x:v>frozen_csv_sha256</x:v>
      </x:c>
      <x:c r="B13" s="74" t="str">
        <x:v>8be4ce71cfdac90b2d362e33ec39f6b2ff5c6b451dbbb160d648c73a90b86d75</x:v>
      </x:c>
    </x:row>
    <x:row r="14">
      <x:c r="A14" s="73" t="str">
        <x:v>pilot_status</x:v>
      </x:c>
      <x:c r="B14" s="74" t="str">
        <x:v>not run</x:v>
      </x:c>
    </x:row>
  </x:sheetData>
  <x:mergeCells>
    <x:mergeCell ref="A1:B1"/>
  </x:mergeCells>
  <x:pageMargins left="0.7" right="0.7" top="0.75" bottom="0.75" header="0.3" footer="0.3"/>
</x:worksheet>
</file>