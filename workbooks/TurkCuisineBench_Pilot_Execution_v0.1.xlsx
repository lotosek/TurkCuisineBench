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be1939b81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59e5d3e1394803"/>
    <x:sheet xmlns:r="http://schemas.openxmlformats.org/officeDocument/2006/relationships" name="Model_Settings" sheetId="2" r:id="Rd532f113cd6f4354"/>
    <x:sheet xmlns:r="http://schemas.openxmlformats.org/officeDocument/2006/relationships" name="Dev_Items" sheetId="3" r:id="Rfdfe00bd663e4842"/>
    <x:sheet xmlns:r="http://schemas.openxmlformats.org/officeDocument/2006/relationships" name="Requests" sheetId="4" r:id="Rba13484e9e2d43a7"/>
    <x:sheet xmlns:r="http://schemas.openxmlformats.org/officeDocument/2006/relationships" name="Responses" sheetId="5" r:id="Re1e965cc2cc84dca"/>
    <x:sheet xmlns:r="http://schemas.openxmlformats.org/officeDocument/2006/relationships" name="Normalization_Tests" sheetId="6" r:id="Rc06da1db779d46b5"/>
    <x:sheet xmlns:r="http://schemas.openxmlformats.org/officeDocument/2006/relationships" name="Dashboard" sheetId="7" r:id="R21c829877391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B5B"/>
      <x:name val="Carlito"/>
    </x:font>
    <x:font>
      <x:b/>
      <x:sz val="10"/>
      <x:color rgb="FFFFFFFF"/>
      <x:name val="Carlito"/>
    </x:font>
    <x:font>
      <x:sz val="9"/>
      <x:color rgb="FF1D2A35"/>
      <x:name val="Carlito"/>
    </x:font>
    <x:font>
      <x:b/>
      <x:sz val="9"/>
      <x:color rgb="FFFFFFFF"/>
      <x:name val="Carlito"/>
    </x:font>
    <x:font>
      <x:sz val="9"/>
      <x:color rgb="FF1B5E8A"/>
      <x:name val="Carlito"/>
    </x:font>
    <x:font>
      <x:b/>
      <x:sz val="11"/>
      <x:color rgb="FF1D2A35"/>
      <x:name val="Carlito"/>
    </x:font>
    <x:font>
      <x:b/>
      <x:sz val="9"/>
      <x:color rgb="FF2D6A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B"/>
      </x:patternFill>
    </x:fill>
    <x:fill>
      <x:patternFill patternType="solid">
        <x:fgColor rgb="FFEAF3F7"/>
      </x:patternFill>
    </x:fill>
    <x:fill>
      <x:patternFill patternType="solid">
        <x:fgColor rgb="FF2D6A4F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2a62a03ca4f6d" /><Relationship Type="http://schemas.openxmlformats.org/officeDocument/2006/relationships/theme" Target="/xl/theme/theme1.xml" Id="Rdef8696175674270" /><Relationship Type="http://schemas.microsoft.com/office/2022/11/relationships/FeaturePropertyBag" Target="/xl/featurePropertyBag/featurePropertyBag.xml" Id="R05fd85cc6b214ed2" /><Relationship Type="http://schemas.openxmlformats.org/officeDocument/2006/relationships/sharedStrings" Target="/xl/sharedStrings.xml" Id="R50b3648e0a454089" /><Relationship Type="http://schemas.openxmlformats.org/officeDocument/2006/relationships/worksheet" Target="/xl/worksheets/sheet1.xml" Id="Rc359e5d3e1394803" /><Relationship Type="http://schemas.openxmlformats.org/officeDocument/2006/relationships/worksheet" Target="/xl/worksheets/sheet2.xml" Id="Rd532f113cd6f4354" /><Relationship Type="http://schemas.openxmlformats.org/officeDocument/2006/relationships/worksheet" Target="/xl/worksheets/sheet3.xml" Id="Rfdfe00bd663e4842" /><Relationship Type="http://schemas.openxmlformats.org/officeDocument/2006/relationships/worksheet" Target="/xl/worksheets/sheet4.xml" Id="Rba13484e9e2d43a7" /><Relationship Type="http://schemas.openxmlformats.org/officeDocument/2006/relationships/worksheet" Target="/xl/worksheets/sheet5.xml" Id="Re1e965cc2cc84dca" /><Relationship Type="http://schemas.openxmlformats.org/officeDocument/2006/relationships/worksheet" Target="/xl/worksheets/sheet6.xml" Id="Rc06da1db779d46b5" /><Relationship Type="http://schemas.openxmlformats.org/officeDocument/2006/relationships/worksheet" Target="/xl/worksheets/sheet7.xml" Id="R21c8298773914a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ilotDevItems" displayName="PilotDevItems" ref="A3:Q39" headerRowCount="1" totalsRowCount="0" totalsRowShown="0">
  <x:tableColumns count="17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source_type"/>
    <x:tableColumn id="10" name="lexical_leakage"/>
    <x:tableColumn id="11" name="ambiguity_risk"/>
    <x:tableColumn id="12" name="temporal_stability"/>
    <x:tableColumn id="13" name="numeric_answer"/>
    <x:tableColumn id="14" name="dev_case_type"/>
    <x:tableColumn id="15" name="item_status"/>
    <x:tableColumn id="16" name="notes"/>
    <x:tableColumn id="17" name="source_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Requests" displayName="PilotRequests" ref="A3:H75" headerRowCount="1" totalsRowCount="0" totalsRowShown="0">
  <x:tableColumns count="8">
    <x:tableColumn id="1" name="run_id"/>
    <x:tableColumn id="2" name="model_slot"/>
    <x:tableColumn id="3" name="requested_model_id"/>
    <x:tableColumn id="4" name="item_id"/>
    <x:tableColumn id="5" name="source_fact_id"/>
    <x:tableColumn id="6" name="prompt_version"/>
    <x:tableColumn id="7" name="question_tr"/>
    <x:tableColumn id="8" name="promp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Responses" displayName="PilotResponses" ref="A4:V76" headerRowCount="1" totalsRowCount="0" totalsRowShown="0">
  <x:tableColumns count="22">
    <x:tableColumn id="1" name="run_id"/>
    <x:tableColumn id="2" name="model_slot"/>
    <x:tableColumn id="3" name="requested_model_id"/>
    <x:tableColumn id="4" name="returned_model_id"/>
    <x:tableColumn id="5" name="request_id"/>
    <x:tableColumn id="6" name="item_id"/>
    <x:tableColumn id="7" name="gold_answer"/>
    <x:tableColumn id="8" name="accepted_answers"/>
    <x:tableColumn id="9" name="raw_response"/>
    <x:tableColumn id="10" name="normalized_response"/>
    <x:tableColumn id="11" name="auto_label"/>
    <x:tableColumn id="12" name="manual_review"/>
    <x:tableColumn id="13" name="final_label"/>
    <x:tableColumn id="14" name="scoring_reason"/>
    <x:tableColumn id="15" name="issue_type"/>
    <x:tableColumn id="16" name="reviewer_note"/>
    <x:tableColumn id="17" name="started_at_utc"/>
    <x:tableColumn id="18" name="finished_at_utc"/>
    <x:tableColumn id="19" name="latency_ms"/>
    <x:tableColumn id="20" name="status"/>
    <x:tableColumn id="21" name="prompt_version"/>
    <x:tableColumn id="22" name="scorer_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rmalizationTests" displayName="NormalizationTests" ref="A3:F11" headerRowCount="1" totalsRowCount="0" totalsRowShown="0">
  <x:tableColumns count="6">
    <x:tableColumn id="1" name="test_id"/>
    <x:tableColumn id="2" name="raw_response"/>
    <x:tableColumn id="3" name="expected_normalized"/>
    <x:tableColumn id="4" name="accepted_answers"/>
    <x:tableColumn id="5" name="expected_label"/>
    <x:tableColumn id="6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4f612c545b146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f7d9593126d4c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943e5c805d64d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20ea52753d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5" hidden="0" customWidth="1"/>
    <x:col min="3" max="3" width="35" hidden="0" customWidth="1"/>
    <x:col min="4" max="4" width="12.5" hidden="0" customWidth="1"/>
    <x:col min="5" max="5" width="31.25" hidden="0" customWidth="1"/>
    <x:col min="6" max="6" width="15" hidden="0" customWidth="1"/>
  </x:cols>
  <x:sheetData>
    <x:row r="1" ht="28.5" customHeight="1">
      <x:c r="A1" s="3" t="str">
        <x:v>TurkCuisineBench — Pilot Execution Package v0.1</x:v>
      </x:c>
      <x:c r="B1" s="3" t="str">
        <x:v>TurkCuisineBench — Pilot Execution Package v0.1</x:v>
      </x:c>
      <x:c r="C1" s="3" t="str">
        <x:v>TurkCuisineBench — Pilot Execution Package v0.1</x:v>
      </x:c>
      <x:c r="D1" s="3" t="str">
        <x:v>TurkCuisineBench — Pilot Execution Package v0.1</x:v>
      </x:c>
      <x:c r="E1" s="3" t="str">
        <x:v>TurkCuisineBench — Pilot Execution Package v0.1</x:v>
      </x:c>
      <x:c r="F1" s="3" t="str">
        <x:v>TurkCuisineBench — Pilot Execution Package v0.1</x:v>
      </x:c>
    </x:row>
    <x:row r="3" ht="36" customHeight="1">
      <x:c r="A3" s="6" t="str">
        <x:v>Purpose</x:v>
      </x:c>
      <x:c r="B3" s="7" t="str">
        <x:v>Validate the Turkish prompt, response logging, normalization, scoring, abstention, and manual-review routing.</x:v>
      </x:c>
    </x:row>
    <x:row r="4" ht="36" customHeight="1">
      <x:c r="A4" s="6" t="str">
        <x:v>Design</x:v>
      </x:c>
      <x:c r="B4" s="7" t="str">
        <x:v>36 Dev items × 2 fixed model slots = 72 stateless responses.</x:v>
      </x:c>
    </x:row>
    <x:row r="5" ht="36" customHeight="1">
      <x:c r="A5" s="6" t="str">
        <x:v>Interpretation</x:v>
      </x:c>
      <x:c r="B5" s="7" t="str">
        <x:v>Method pilot only; do not report these scores as the main benchmark leaderboard.</x:v>
      </x:c>
    </x:row>
    <x:row r="6" ht="36" customHeight="1">
      <x:c r="A6" s="6" t="str">
        <x:v>Current status</x:v>
      </x:c>
      <x:c r="B6" s="7" t="str">
        <x:v>PILOT-READY / NOT FROZEN. Reviewer approval was reported, but the paper forms are not yet archived or transcribed.</x:v>
      </x:c>
    </x:row>
    <x:row r="7" ht="36" customHeight="1">
      <x:c r="A7" s="6" t="str">
        <x:v>Freeze gate</x:v>
      </x:c>
      <x:c r="B7" s="7" t="str">
        <x:v>Archive both reviewer forms, transcribe decisions, adjudicate, freeze Dev, and record a checksum before the official run.</x:v>
      </x:c>
    </x:row>
    <x:row r="8" ht="36" customHeight="1">
      <x:c r="A8" s="6" t="str">
        <x:v>Data boundary</x:v>
      </x:c>
      <x:c r="B8" s="7" t="str">
        <x:v>Turkish questions are canonical. The English manuscript describes the method; any later English benchmark version must be a separately validated paired translation.</x:v>
      </x:c>
    </x:row>
    <x:row r="9" ht="36" customHeight="1">
      <x:c r="A9" s="6" t="str">
        <x:v>No post-hoc tuning</x:v>
      </x:c>
      <x:c r="B9" s="7" t="str">
        <x:v>Do not add accepted answers merely because they appear in model outputs.</x:v>
      </x:c>
    </x:row>
    <x:row r="10" ht="36" customHeight="1">
      <x:c r="A10" s="6" t="str">
        <x:v>Secrets</x:v>
      </x:c>
      <x:c r="B10" s="7" t="str">
        <x:v>Never store API keys in this workbook or package.</x:v>
      </x:c>
    </x:row>
    <x:row r="12">
      <x:c r="A12" s="11" t="str">
        <x:v>STEP</x:v>
      </x:c>
      <x:c r="B12" s="11" t="str">
        <x:v>ACTION</x:v>
      </x:c>
      <x:c r="C12" s="11" t="str">
        <x:v>EVIDENCE</x:v>
      </x:c>
      <x:c r="D12" s="11" t="str">
        <x:v>OWNER</x:v>
      </x:c>
      <x:c r="E12" s="11" t="str">
        <x:v>GATE</x:v>
      </x:c>
      <x:c r="F12" s="11" t="str">
        <x:v>STATUS</x:v>
      </x:c>
    </x:row>
    <x:row r="13">
      <x:c r="A13" s="14" t="n">
        <x:v>1</x:v>
      </x:c>
      <x:c r="B13" s="14" t="str">
        <x:v>Retrieve paper forms</x:v>
      </x:c>
      <x:c r="C13" s="14" t="str">
        <x:v>Two signed/dated forms</x:v>
      </x:c>
      <x:c r="D13" s="14" t="str">
        <x:v>Author</x:v>
      </x:c>
      <x:c r="E13" s="14" t="str">
        <x:v>Required before formal freeze</x:v>
      </x:c>
      <x:c r="F13" s="15" t="str">
        <x:v>pending</x:v>
      </x:c>
    </x:row>
    <x:row r="14">
      <x:c r="A14" s="14" t="n">
        <x:v>2</x:v>
      </x:c>
      <x:c r="B14" s="14" t="str">
        <x:v>Transcribe and adjudicate</x:v>
      </x:c>
      <x:c r="C14" s="14" t="str">
        <x:v>Completed validation workbook</x:v>
      </x:c>
      <x:c r="D14" s="14" t="str">
        <x:v>Author</x:v>
      </x:c>
      <x:c r="E14" s="14" t="str">
        <x:v>36 final actions</x:v>
      </x:c>
      <x:c r="F14" s="15" t="str">
        <x:v>pending</x:v>
      </x:c>
    </x:row>
    <x:row r="15">
      <x:c r="A15" s="14" t="n">
        <x:v>3</x:v>
      </x:c>
      <x:c r="B15" s="14" t="str">
        <x:v>Freeze Dev file</x:v>
      </x:c>
      <x:c r="C15" s="14" t="str">
        <x:v>Version + SHA-256</x:v>
      </x:c>
      <x:c r="D15" s="14" t="str">
        <x:v>Author</x:v>
      </x:c>
      <x:c r="E15" s="14" t="str">
        <x:v>No later answer tuning</x:v>
      </x:c>
      <x:c r="F15" s="15" t="str">
        <x:v>pending</x:v>
      </x:c>
    </x:row>
    <x:row r="16">
      <x:c r="A16" s="14" t="n">
        <x:v>4</x:v>
      </x:c>
      <x:c r="B16" s="14" t="str">
        <x:v>Configure exact model endpoints</x:v>
      </x:c>
      <x:c r="C16" s="14" t="str">
        <x:v>Config copy; secrets in environment</x:v>
      </x:c>
      <x:c r="D16" s="14" t="str">
        <x:v>Author</x:v>
      </x:c>
      <x:c r="E16" s="14" t="str">
        <x:v>Both model slots enabled</x:v>
      </x:c>
      <x:c r="F16" s="15" t="str">
        <x:v>pending</x:v>
      </x:c>
    </x:row>
    <x:row r="17">
      <x:c r="A17" s="14" t="n">
        <x:v>5</x:v>
      </x:c>
      <x:c r="B17" s="14" t="str">
        <x:v>Run 72 independent requests</x:v>
      </x:c>
      <x:c r="C17" s="14" t="str">
        <x:v>Raw append-only JSONL</x:v>
      </x:c>
      <x:c r="D17" s="14" t="str">
        <x:v>Author</x:v>
      </x:c>
      <x:c r="E17" s="14" t="str">
        <x:v>72 successful rows</x:v>
      </x:c>
      <x:c r="F17" s="15" t="str">
        <x:v>pending</x:v>
      </x:c>
    </x:row>
    <x:row r="18">
      <x:c r="A18" s="14" t="n">
        <x:v>6</x:v>
      </x:c>
      <x:c r="B18" s="14" t="str">
        <x:v>Run deterministic scorer</x:v>
      </x:c>
      <x:c r="C18" s="14" t="str">
        <x:v>Scored CSV + test pass</x:v>
      </x:c>
      <x:c r="D18" s="14" t="str">
        <x:v>Author</x:v>
      </x:c>
      <x:c r="E18" s="14" t="str">
        <x:v>All rows labeled/routed</x:v>
      </x:c>
      <x:c r="F18" s="15" t="str">
        <x:v>pending</x:v>
      </x:c>
    </x:row>
    <x:row r="19">
      <x:c r="A19" s="14" t="n">
        <x:v>7</x:v>
      </x:c>
      <x:c r="B19" s="14" t="str">
        <x:v>Manually review unmatched outputs</x:v>
      </x:c>
      <x:c r="C19" s="14" t="str">
        <x:v>Reviewer notes in Responses</x:v>
      </x:c>
      <x:c r="D19" s="14" t="str">
        <x:v>Author</x:v>
      </x:c>
      <x:c r="E19" s="14" t="str">
        <x:v>Zero unresolved rows</x:v>
      </x:c>
      <x:c r="F19" s="15" t="str">
        <x:v>pending</x:v>
      </x:c>
    </x:row>
    <x:row r="20">
      <x:c r="A20" s="14" t="n">
        <x:v>8</x:v>
      </x:c>
      <x:c r="B20" s="14" t="str">
        <x:v>Freeze main Test protocol</x:v>
      </x:c>
      <x:c r="C20" s="14" t="str">
        <x:v>Dated protocol version</x:v>
      </x:c>
      <x:c r="D20" s="14" t="str">
        <x:v>Author</x:v>
      </x:c>
      <x:c r="E20" s="14" t="str">
        <x:v>Systematic issues resolved</x:v>
      </x:c>
      <x:c r="F20" s="15" t="str">
        <x:v>pending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22.5" hidden="0" customWidth="1"/>
    <x:col min="4" max="4" width="23.75" hidden="0" customWidth="1"/>
    <x:col min="5" max="5" width="28.75" hidden="0" customWidth="1"/>
    <x:col min="6" max="6" width="12.5" hidden="0" customWidth="1"/>
    <x:col min="7" max="7" width="11.25" hidden="0" customWidth="1"/>
    <x:col min="8" max="8" width="32.5" hidden="0" customWidth="1"/>
  </x:cols>
  <x:sheetData>
    <x:row r="1" ht="28.5" customHeight="1">
      <x:c r="A1" s="3" t="str">
        <x:v>Fixed Model and Run Settings</x:v>
      </x:c>
      <x:c r="B1" s="3" t="str">
        <x:v>Fixed Model and Run Settings</x:v>
      </x:c>
      <x:c r="C1" s="3" t="str">
        <x:v>Fixed Model and Run Settings</x:v>
      </x:c>
      <x:c r="D1" s="3" t="str">
        <x:v>Fixed Model and Run Settings</x:v>
      </x:c>
      <x:c r="E1" s="3" t="str">
        <x:v>Fixed Model and Run Settings</x:v>
      </x:c>
      <x:c r="F1" s="3" t="str">
        <x:v>Fixed Model and Run Settings</x:v>
      </x:c>
      <x:c r="G1" s="3" t="str">
        <x:v>Fixed Model and Run Settings</x:v>
      </x:c>
      <x:c r="H1" s="3" t="str">
        <x:v>Fixed Model and Run Settings</x:v>
      </x:c>
    </x:row>
    <x:row r="3">
      <x:c r="A3" s="19" t="str">
        <x:v>model_slot</x:v>
      </x:c>
      <x:c r="B3" s="19" t="str">
        <x:v>role</x:v>
      </x:c>
      <x:c r="C3" s="19" t="str">
        <x:v>provider_type</x:v>
      </x:c>
      <x:c r="D3" s="19" t="str">
        <x:v>requested_model_id</x:v>
      </x:c>
      <x:c r="E3" s="19" t="str">
        <x:v>base_url</x:v>
      </x:c>
      <x:c r="F3" s="19" t="str">
        <x:v>temperature</x:v>
      </x:c>
      <x:c r="G3" s="19" t="str">
        <x:v>enabled</x:v>
      </x:c>
      <x:c r="H3" s="19" t="str">
        <x:v>status</x:v>
      </x:c>
    </x:row>
    <x:row r="4">
      <x:c r="A4" s="14" t="str">
        <x:v>M1</x:v>
      </x:c>
      <x:c r="B4" s="14" t="str">
        <x:v>Frontier reference</x:v>
      </x:c>
      <x:c r="C4" s="14" t="str">
        <x:v>openai_responses</x:v>
      </x:c>
      <x:c r="D4" s="14" t="str">
        <x:v>gpt-5.5-2026-04-23</x:v>
      </x:c>
      <x:c r="E4" s="14" t="str">
        <x:v>https://api.openai.com/v1</x:v>
      </x:c>
      <x:c r="F4" s="14" t="str">
        <x:v>omitted</x:v>
      </x:c>
      <x:c r="G4" s="15" t="str">
        <x:v>yes</x:v>
      </x:c>
      <x:c r="H4" s="15" t="str">
        <x:v>Ready when API key is available</x:v>
      </x:c>
    </x:row>
    <x:row r="5">
      <x:c r="A5" s="14" t="str">
        <x:v>M2</x:v>
      </x:c>
      <x:c r="B5" s="14" t="str">
        <x:v>Open-weight comparison</x:v>
      </x:c>
      <x:c r="C5" s="14" t="str">
        <x:v>openai_compatible_chat</x:v>
      </x:c>
      <x:c r="D5" s="14" t="str">
        <x:v>gpt-oss-120b</x:v>
      </x:c>
      <x:c r="E5" s="14" t="str">
        <x:v>provider-specific</x:v>
      </x:c>
      <x:c r="F5" s="14" t="str">
        <x:v>0</x:v>
      </x:c>
      <x:c r="G5" s="15" t="str">
        <x:v>no</x:v>
      </x:c>
      <x:c r="H5" s="15" t="str">
        <x:v>Endpoint/provider must be configured</x:v>
      </x:c>
    </x:row>
    <x:row r="8">
      <x:c r="A8" s="11" t="str">
        <x:v>SETTING</x:v>
      </x:c>
      <x:c r="B8" s="11" t="str">
        <x:v>FIXED VALUE</x:v>
      </x:c>
    </x:row>
    <x:row r="9">
      <x:c r="A9" s="20" t="str">
        <x:v>Prompt version</x:v>
      </x:c>
      <x:c r="B9" s="14" t="str">
        <x:v>prompt_tr_v0.1</x:v>
      </x:c>
    </x:row>
    <x:row r="10">
      <x:c r="A10" s="20" t="str">
        <x:v>Scorer version</x:v>
      </x:c>
      <x:c r="B10" s="14" t="str">
        <x:v>scorer_tr_v0.1</x:v>
      </x:c>
    </x:row>
    <x:row r="11">
      <x:c r="A11" s="20" t="str">
        <x:v>Maximum output</x:v>
      </x:c>
      <x:c r="B11" s="14" t="str">
        <x:v>64 tokens</x:v>
      </x:c>
    </x:row>
    <x:row r="12">
      <x:c r="A12" s="20" t="str">
        <x:v>Requests</x:v>
      </x:c>
      <x:c r="B12" s="14" t="str">
        <x:v>One item per stateless request</x:v>
      </x:c>
    </x:row>
    <x:row r="13">
      <x:c r="A13" s="20" t="str">
        <x:v>Tools / web / RAG</x:v>
      </x:c>
      <x:c r="B13" s="14" t="str">
        <x:v>Off</x:v>
      </x:c>
    </x:row>
    <x:row r="14">
      <x:c r="A14" s="20" t="str">
        <x:v>Conversation history</x:v>
      </x:c>
      <x:c r="B14" s="14" t="str">
        <x:v>None</x:v>
      </x:c>
    </x:row>
    <x:row r="15">
      <x:c r="A15" s="20" t="str">
        <x:v>Store</x:v>
      </x:c>
      <x:c r="B15" s="14" t="str">
        <x:v>False</x:v>
      </x:c>
    </x:row>
    <x:row r="16">
      <x:c r="A16" s="20" t="str">
        <x:v>Replicates</x:v>
      </x:c>
      <x:c r="B16" s="14" t="str">
        <x:v>One per model-item pair</x:v>
      </x:c>
    </x:row>
    <x:row r="17">
      <x:c r="A17" s="20" t="str">
        <x:v>Order</x:v>
      </x:c>
      <x:c r="B17" s="14" t="str">
        <x:v>M1 D001–D036, then M2 D001–D036</x:v>
      </x:c>
    </x:row>
    <x:row r="18">
      <x:c r="A18" s="20" t="str">
        <x:v>Secrets</x:v>
      </x:c>
      <x:c r="B18" s="14" t="str">
        <x:v>Environment variables only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380000114440918" hidden="0" customWidth="1"/>
    <x:col min="3" max="3" width="25.6299991607666" hidden="0" customWidth="1"/>
    <x:col min="4" max="4" width="14.380000114440918" hidden="0" customWidth="1"/>
    <x:col min="5" max="5" width="38.75" hidden="0" customWidth="1"/>
    <x:col min="6" max="6" width="17.5" hidden="0" customWidth="1"/>
    <x:col min="7" max="7" width="33.75" hidden="0" customWidth="1"/>
    <x:col min="8" max="8" width="8.75" hidden="0" customWidth="1"/>
    <x:col min="9" max="9" width="18.75" hidden="0" customWidth="1"/>
    <x:col min="10" max="10" width="8.75" hidden="0" customWidth="1"/>
    <x:col min="11" max="11" width="10.630000114440918" hidden="0" customWidth="1"/>
    <x:col min="12" max="12" width="11.25" hidden="0" customWidth="1"/>
    <x:col min="13" max="13" width="9.380000114440918" hidden="0" customWidth="1"/>
    <x:col min="14" max="14" width="16.25" hidden="0" customWidth="1"/>
    <x:col min="15" max="15" width="13.75" hidden="0" customWidth="1"/>
    <x:col min="16" max="16" width="32.5" hidden="0" customWidth="1"/>
    <x:col min="17" max="17" width="11.880000114440918" hidden="0" customWidth="1"/>
  </x:cols>
  <x:sheetData>
    <x:row r="1" ht="28.5" customHeight="1">
      <x:c r="A1" s="3" t="str">
        <x:v>Frozen Candidate Register — Awaiting Paper-Form Archive</x:v>
      </x:c>
      <x:c r="B1" s="3" t="str">
        <x:v>Frozen Candidate Register — Awaiting Paper-Form Archive</x:v>
      </x:c>
      <x:c r="C1" s="3" t="str">
        <x:v>Frozen Candidate Register — Awaiting Paper-Form Archive</x:v>
      </x:c>
      <x:c r="D1" s="3" t="str">
        <x:v>Frozen Candidate Register — Awaiting Paper-Form Archive</x:v>
      </x:c>
      <x:c r="E1" s="3" t="str">
        <x:v>Frozen Candidate Register — Awaiting Paper-Form Archive</x:v>
      </x:c>
      <x:c r="F1" s="3" t="str">
        <x:v>Frozen Candidate Register — Awaiting Paper-Form Archive</x:v>
      </x:c>
      <x:c r="G1" s="3" t="str">
        <x:v>Frozen Candidate Register — Awaiting Paper-Form Archive</x:v>
      </x:c>
      <x:c r="H1" s="3" t="str">
        <x:v>Frozen Candidate Register — Awaiting Paper-Form Archive</x:v>
      </x:c>
      <x:c r="I1" s="3" t="str">
        <x:v>Frozen Candidate Register — Awaiting Paper-Form Archive</x:v>
      </x:c>
      <x:c r="J1" s="3" t="str">
        <x:v>Frozen Candidate Register — Awaiting Paper-Form Archive</x:v>
      </x:c>
      <x:c r="K1" s="3" t="str">
        <x:v>Frozen Candidate Register — Awaiting Paper-Form Archive</x:v>
      </x:c>
      <x:c r="L1" s="3" t="str">
        <x:v>Frozen Candidate Register — Awaiting Paper-Form Archive</x:v>
      </x:c>
      <x:c r="M1" s="3" t="str">
        <x:v>Frozen Candidate Register — Awaiting Paper-Form Archive</x:v>
      </x:c>
      <x:c r="N1" s="3" t="str">
        <x:v>Frozen Candidate Register — Awaiting Paper-Form Archive</x:v>
      </x:c>
      <x:c r="O1" s="3" t="str">
        <x:v>Frozen Candidate Register — Awaiting Paper-Form Archive</x:v>
      </x:c>
      <x:c r="P1" s="3" t="str">
        <x:v>Frozen Candidate Register — Awaiting Paper-Form Archive</x:v>
      </x:c>
      <x:c r="Q1" s="3" t="str">
        <x:v>Frozen Candidate Register — Awaiting Paper-Form Archive</x:v>
      </x:c>
    </x:row>
    <x:row r="3">
      <x:c r="A3" s="19" t="str">
        <x:v>item_id</x:v>
      </x:c>
      <x:c r="B3" s="19" t="str">
        <x:v>source_fact_id</x:v>
      </x:c>
      <x:c r="C3" s="19" t="str">
        <x:v>knowledge_domain</x:v>
      </x:c>
      <x:c r="D3" s="19" t="str">
        <x:v>knowledge_specificity</x:v>
      </x:c>
      <x:c r="E3" s="19" t="str">
        <x:v>question_tr</x:v>
      </x:c>
      <x:c r="F3" s="19" t="str">
        <x:v>gold_answer</x:v>
      </x:c>
      <x:c r="G3" s="19" t="str">
        <x:v>accepted_answers</x:v>
      </x:c>
      <x:c r="H3" s="19" t="str">
        <x:v>source_url</x:v>
      </x:c>
      <x:c r="I3" s="19" t="str">
        <x:v>source_type</x:v>
      </x:c>
      <x:c r="J3" s="19" t="str">
        <x:v>lexical_leakage</x:v>
      </x:c>
      <x:c r="K3" s="19" t="str">
        <x:v>ambiguity_risk</x:v>
      </x:c>
      <x:c r="L3" s="19" t="str">
        <x:v>temporal_stability</x:v>
      </x:c>
      <x:c r="M3" s="19" t="str">
        <x:v>numeric_answer</x:v>
      </x:c>
      <x:c r="N3" s="19" t="str">
        <x:v>dev_case_type</x:v>
      </x:c>
      <x:c r="O3" s="19" t="str">
        <x:v>item_status</x:v>
      </x:c>
      <x:c r="P3" s="19" t="str">
        <x:v>notes</x:v>
      </x:c>
      <x:c r="Q3" s="19" t="str">
        <x:v>source_link</x:v>
      </x:c>
    </x:row>
    <x:row r="4">
      <x:c r="A4" s="14" t="str">
        <x:v>D001</x:v>
      </x:c>
      <x:c r="B4" s="14" t="str">
        <x:v>F014</x:v>
      </x:c>
      <x:c r="C4" s="14" t="str">
        <x:v>K3 — Preparation &amp; Cooking Techniques</x:v>
      </x:c>
      <x:c r="D4" s="14" t="str">
        <x:v>Technical</x:v>
      </x:c>
      <x:c r="E4" s="14" t="str">
        <x:v>Adana Kebabı için et geleneksel olarak hangi araçla kıyılır?</x:v>
      </x:c>
      <x:c r="F4" s="14" t="str">
        <x:v>Zırh</x:v>
      </x:c>
      <x:c r="G4" s="14" t="str">
        <x:v>zırh</x:v>
      </x:c>
      <x:c r="H4" s="14" t="str">
        <x:v>https://ci.turkpatent.gov.tr/Files/GeographicalSigns/493a7cc8-b7da-4f95-bf8c-f82617bc990a.pdf</x:v>
      </x:c>
      <x:c r="I4" s="14" t="str">
        <x:v>TÜRKPATENT tescil belgesi</x:v>
      </x:c>
      <x:c r="J4" s="14" t="str">
        <x:v>L0</x:v>
      </x:c>
      <x:c r="K4" s="14" t="str">
        <x:v>low</x:v>
      </x:c>
      <x:c r="L4" s="14" t="str">
        <x:v>high</x:v>
      </x:c>
      <x:c r="M4" s="24" t="b">
        <x:v>0</x:v>
      </x:c>
      <x:c r="N4" s="14" t="str">
        <x:v>clear_single_word</x:v>
      </x:c>
      <x:c r="O4" s="15" t="str">
        <x:v>dev_ready</x:v>
      </x:c>
      <x:c r="P4" s="14" t="str">
        <x:v>Kaynakta açıkça tanımlı araç adı.</x:v>
      </x:c>
      <x:c r="Q4" s="25" t="e">
        <x:f>HYPERLINK(H4,"Open source")</x:f>
        <x:v>HYPERLINK is not implemented. linkLocation=https://ci.turkpatent.gov.tr/Files/GeographicalSigns/493a7cc8-b7da-4f95-bf8c-f82617bc990a.pdf, friendlyName=Open source</x:v>
      </x:c>
    </x:row>
    <x:row r="5">
      <x:c r="A5" s="14" t="str">
        <x:v>D002</x:v>
      </x:c>
      <x:c r="B5" s="14" t="str">
        <x:v>F017</x:v>
      </x:c>
      <x:c r="C5" s="14" t="str">
        <x:v>K3 — Preparation &amp; Cooking Techniques</x:v>
      </x:c>
      <x:c r="D5" s="14" t="str">
        <x:v>Local/Technical</x:v>
      </x:c>
      <x:c r="E5" s="14" t="str">
        <x:v>Maraş Tarhanasının kurutulmak üzere serildiği geleneksel sergiye ne ad verilir?</x:v>
      </x:c>
      <x:c r="F5" s="14" t="str">
        <x:v>Çığ</x:v>
      </x:c>
      <x:c r="G5" s="14" t="str">
        <x:v>çığ</x:v>
      </x:c>
      <x:c r="H5" s="14" t="str">
        <x:v>https://ci.turkpatent.gov.tr/Files/GeographicalSigns/8c3d053b-bb27-4305-a46f-398c181d189e.pdf</x:v>
      </x:c>
      <x:c r="I5" s="14" t="str">
        <x:v>TÜRKPATENT tescil belgesi</x:v>
      </x:c>
      <x:c r="J5" s="14" t="str">
        <x:v>L0</x:v>
      </x:c>
      <x:c r="K5" s="14" t="str">
        <x:v>low</x:v>
      </x:c>
      <x:c r="L5" s="14" t="str">
        <x:v>high</x:v>
      </x:c>
      <x:c r="M5" s="24" t="b">
        <x:v>0</x:v>
      </x:c>
      <x:c r="N5" s="14" t="str">
        <x:v>clear_single_word</x:v>
      </x:c>
      <x:c r="O5" s="15" t="str">
        <x:v>dev_ready</x:v>
      </x:c>
      <x:c r="P5" s="14" t="str">
        <x:v>Yerel üretim terminolojisi.</x:v>
      </x:c>
      <x:c r="Q5" s="25" t="e">
        <x:f>HYPERLINK(H5,"Open source")</x:f>
        <x:v>HYPERLINK is not implemented. linkLocation=https://ci.turkpatent.gov.tr/Files/GeographicalSigns/8c3d053b-bb27-4305-a46f-398c181d189e.pdf, friendlyName=Open source</x:v>
      </x:c>
    </x:row>
    <x:row r="6">
      <x:c r="A6" s="14" t="str">
        <x:v>D003</x:v>
      </x:c>
      <x:c r="B6" s="14" t="str">
        <x:v>F019</x:v>
      </x:c>
      <x:c r="C6" s="14" t="str">
        <x:v>K3 — Preparation &amp; Cooking Techniques</x:v>
      </x:c>
      <x:c r="D6" s="14" t="str">
        <x:v>General</x:v>
      </x:c>
      <x:c r="E6" s="14" t="str">
        <x:v>UNESCO tanımına göre Türk kahvesi hazırlanırken öğütülmüş kahveye başlangıçta hangi sıcaklıktaki su eklenir?</x:v>
      </x:c>
      <x:c r="F6" s="14" t="str">
        <x:v>Soğuk</x:v>
      </x:c>
      <x:c r="G6" s="14" t="str">
        <x:v>soğuk | soğuk su</x:v>
      </x:c>
      <x:c r="H6" s="14" t="str">
        <x:v>https://ich.unesco.org/en/RL/turkish-coffee-culture-and-tradition-00645</x:v>
      </x:c>
      <x:c r="I6" s="14" t="str">
        <x:v>UNESCO ICH kaydı</x:v>
      </x:c>
      <x:c r="J6" s="14" t="str">
        <x:v>L0</x:v>
      </x:c>
      <x:c r="K6" s="14" t="str">
        <x:v>low</x:v>
      </x:c>
      <x:c r="L6" s="14" t="str">
        <x:v>high</x:v>
      </x:c>
      <x:c r="M6" s="24" t="b">
        <x:v>0</x:v>
      </x:c>
      <x:c r="N6" s="14" t="str">
        <x:v>clear_single_word</x:v>
      </x:c>
      <x:c r="O6" s="15" t="str">
        <x:v>dev_ready</x:v>
      </x:c>
      <x:c r="P6" s="14" t="str">
        <x:v>Gold tek kelime; 'soğuk su' da kabul edilir.</x:v>
      </x:c>
      <x:c r="Q6" s="25" t="e">
        <x:f>HYPERLINK(H6,"Open source")</x:f>
        <x:v>HYPERLINK is not implemented. linkLocation=https://ich.unesco.org/en/RL/turkish-coffee-culture-and-tradition-00645, friendlyName=Open source</x:v>
      </x:c>
    </x:row>
    <x:row r="7">
      <x:c r="A7" s="14" t="str">
        <x:v>D004</x:v>
      </x:c>
      <x:c r="B7" s="14" t="str">
        <x:v>F028</x:v>
      </x:c>
      <x:c r="C7" s="14" t="str">
        <x:v>K5 — Culinary Terminology &amp; Traditional Practices</x:v>
      </x:c>
      <x:c r="D7" s="14" t="str">
        <x:v>General/Heritage</x:v>
      </x:c>
      <x:c r="E7" s="14" t="str">
        <x:v>UNESCO'ya göre Türk kahvesine geleneksel olarak hangi içecek eşlik eder?</x:v>
      </x:c>
      <x:c r="F7" s="14" t="str">
        <x:v>Su</x:v>
      </x:c>
      <x:c r="G7" s="14" t="str">
        <x:v>su | bir bardak su</x:v>
      </x:c>
      <x:c r="H7" s="14" t="str">
        <x:v>https://ich.unesco.org/en/RL/turkish-coffee-culture-and-tradition-00645</x:v>
      </x:c>
      <x:c r="I7" s="14" t="str">
        <x:v>UNESCO ICH kaydı</x:v>
      </x:c>
      <x:c r="J7" s="14" t="str">
        <x:v>L0</x:v>
      </x:c>
      <x:c r="K7" s="14" t="str">
        <x:v>low</x:v>
      </x:c>
      <x:c r="L7" s="14" t="str">
        <x:v>high</x:v>
      </x:c>
      <x:c r="M7" s="24" t="b">
        <x:v>0</x:v>
      </x:c>
      <x:c r="N7" s="14" t="str">
        <x:v>clear_single_word</x:v>
      </x:c>
      <x:c r="O7" s="15" t="str">
        <x:v>dev_ready</x:v>
      </x:c>
      <x:c r="P7" s="14" t="str">
        <x:v>Kaynak bir bardak suyu belirtir.</x:v>
      </x:c>
      <x:c r="Q7" s="25" t="e">
        <x:f>HYPERLINK(H7,"Open source")</x:f>
        <x:v>HYPERLINK is not implemented. linkLocation=https://ich.unesco.org/en/RL/turkish-coffee-culture-and-tradition-00645, friendlyName=Open source</x:v>
      </x:c>
    </x:row>
    <x:row r="8">
      <x:c r="A8" s="14" t="str">
        <x:v>D005</x:v>
      </x:c>
      <x:c r="B8" s="14" t="str">
        <x:v>F056</x:v>
      </x:c>
      <x:c r="C8" s="14" t="str">
        <x:v>K2 — Ingredients &amp; Composition</x:v>
      </x:c>
      <x:c r="D8" s="14" t="str">
        <x:v>Regional</x:v>
      </x:c>
      <x:c r="E8" s="14" t="str">
        <x:v>Antalya Piyazını diğer piyazlardan ayıran karakteristik sos nedir?</x:v>
      </x:c>
      <x:c r="F8" s="14" t="str">
        <x:v>Tarator</x:v>
      </x:c>
      <x:c r="G8" s="14" t="str">
        <x:v>tarator | tarator sosu</x:v>
      </x:c>
      <x:c r="H8" s="14" t="str">
        <x:v>https://ci.turkpatent.gov.tr/Files/GeographicalSigns/315.pdf</x:v>
      </x:c>
      <x:c r="I8" s="14" t="str">
        <x:v>TÜRKPATENT tescil belgesi</x:v>
      </x:c>
      <x:c r="J8" s="14" t="str">
        <x:v>L0</x:v>
      </x:c>
      <x:c r="K8" s="14" t="str">
        <x:v>low</x:v>
      </x:c>
      <x:c r="L8" s="14" t="str">
        <x:v>high</x:v>
      </x:c>
      <x:c r="M8" s="24" t="b">
        <x:v>0</x:v>
      </x:c>
      <x:c r="N8" s="14" t="str">
        <x:v>clear_single_word</x:v>
      </x:c>
      <x:c r="O8" s="15" t="str">
        <x:v>dev_ready</x:v>
      </x:c>
      <x:c r="P8" s="14" t="str">
        <x:v>Ayırt edici sos.</x:v>
      </x:c>
      <x:c r="Q8" s="25" t="e">
        <x:f>HYPERLINK(H8,"Open source")</x:f>
        <x:v>HYPERLINK is not implemented. linkLocation=https://ci.turkpatent.gov.tr/Files/GeographicalSigns/315.pdf, friendlyName=Open source</x:v>
      </x:c>
    </x:row>
    <x:row r="9">
      <x:c r="A9" s="14" t="str">
        <x:v>D006</x:v>
      </x:c>
      <x:c r="B9" s="14" t="str">
        <x:v>F060</x:v>
      </x:c>
      <x:c r="C9" s="14" t="str">
        <x:v>K3 — Preparation &amp; Cooking Techniques</x:v>
      </x:c>
      <x:c r="D9" s="14" t="str">
        <x:v>Local/Technical</x:v>
      </x:c>
      <x:c r="E9" s="14" t="str">
        <x:v>Tarsus Humusunda pişmiş nohut geleneksel olarak hangi araçla ezilir?</x:v>
      </x:c>
      <x:c r="F9" s="14" t="str">
        <x:v>Tokmak</x:v>
      </x:c>
      <x:c r="G9" s="14" t="str">
        <x:v>tokmak</x:v>
      </x:c>
      <x:c r="H9" s="14" t="str">
        <x:v>https://ci.turkpatent.gov.tr/Files/GeographicalSigns/226.pdf</x:v>
      </x:c>
      <x:c r="I9" s="14" t="str">
        <x:v>TÜRKPATENT tescil belgesi</x:v>
      </x:c>
      <x:c r="J9" s="14" t="str">
        <x:v>L0</x:v>
      </x:c>
      <x:c r="K9" s="14" t="str">
        <x:v>low</x:v>
      </x:c>
      <x:c r="L9" s="14" t="str">
        <x:v>high</x:v>
      </x:c>
      <x:c r="M9" s="24" t="b">
        <x:v>0</x:v>
      </x:c>
      <x:c r="N9" s="14" t="str">
        <x:v>clear_single_word</x:v>
      </x:c>
      <x:c r="O9" s="15" t="str">
        <x:v>dev_ready</x:v>
      </x:c>
      <x:c r="P9" s="14" t="str">
        <x:v>Geleneksel araç bilgisi.</x:v>
      </x:c>
      <x:c r="Q9" s="25" t="e">
        <x:f>HYPERLINK(H9,"Open source")</x:f>
        <x:v>HYPERLINK is not implemented. linkLocation=https://ci.turkpatent.gov.tr/Files/GeographicalSigns/226.pdf, friendlyName=Open source</x:v>
      </x:c>
    </x:row>
    <x:row r="10">
      <x:c r="A10" s="14" t="str">
        <x:v>D007</x:v>
      </x:c>
      <x:c r="B10" s="14" t="str">
        <x:v>F065</x:v>
      </x:c>
      <x:c r="C10" s="14" t="str">
        <x:v>K2 — Ingredients &amp; Composition</x:v>
      </x:c>
      <x:c r="D10" s="14" t="str">
        <x:v>Local</x:v>
      </x:c>
      <x:c r="E10" s="14" t="str">
        <x:v>Erzincan Kesme Kadayıfında yufka katlarının arasına hangi kuruyemiş konur?</x:v>
      </x:c>
      <x:c r="F10" s="14" t="str">
        <x:v>Ceviz</x:v>
      </x:c>
      <x:c r="G10" s="14" t="str">
        <x:v>ceviz | ceviz içi</x:v>
      </x:c>
      <x:c r="H10" s="14" t="str">
        <x:v>https://ci.turkpatent.gov.tr/Files/GeographicalSigns/5212ffda-73e7-4b2a-955b-49d1d24c8dd8.pdf</x:v>
      </x:c>
      <x:c r="I10" s="14" t="str">
        <x:v>TÜRKPATENT tescil belgesi</x:v>
      </x:c>
      <x:c r="J10" s="14" t="str">
        <x:v>L0</x:v>
      </x:c>
      <x:c r="K10" s="14" t="str">
        <x:v>low</x:v>
      </x:c>
      <x:c r="L10" s="14" t="str">
        <x:v>high</x:v>
      </x:c>
      <x:c r="M10" s="24" t="b">
        <x:v>0</x:v>
      </x:c>
      <x:c r="N10" s="14" t="str">
        <x:v>clear_single_word</x:v>
      </x:c>
      <x:c r="O10" s="15" t="str">
        <x:v>dev_ready</x:v>
      </x:c>
      <x:c r="P10" s="14" t="str">
        <x:v>İç malzeme.</x:v>
      </x:c>
      <x:c r="Q10" s="25" t="e">
        <x:f>HYPERLINK(H10,"Open source")</x:f>
        <x:v>HYPERLINK is not implemented. linkLocation=https://ci.turkpatent.gov.tr/Files/GeographicalSigns/5212ffda-73e7-4b2a-955b-49d1d24c8dd8.pdf, friendlyName=Open source</x:v>
      </x:c>
    </x:row>
    <x:row r="11">
      <x:c r="A11" s="14" t="str">
        <x:v>D008</x:v>
      </x:c>
      <x:c r="B11" s="14" t="str">
        <x:v>F068</x:v>
      </x:c>
      <x:c r="C11" s="14" t="str">
        <x:v>K2 — Ingredients &amp; Composition</x:v>
      </x:c>
      <x:c r="D11" s="14" t="str">
        <x:v>Local</x:v>
      </x:c>
      <x:c r="E11" s="14" t="str">
        <x:v>Diyarbakır Kaburga Dolmasının pirinçli iç harcında hangi kuruyemiş kullanılır?</x:v>
      </x:c>
      <x:c r="F11" s="14" t="str">
        <x:v>Badem</x:v>
      </x:c>
      <x:c r="G11" s="14" t="str">
        <x:v>badem | badem içi</x:v>
      </x:c>
      <x:c r="H11" s="14" t="str">
        <x:v>https://ci.turkpatent.gov.tr/Files/GeographicalSigns/ffe64b55-cc1a-4e1f-90ff-1f9a90128a25.pdf</x:v>
      </x:c>
      <x:c r="I11" s="14" t="str">
        <x:v>TÜRKPATENT tescil belgesi</x:v>
      </x:c>
      <x:c r="J11" s="14" t="str">
        <x:v>L0</x:v>
      </x:c>
      <x:c r="K11" s="14" t="str">
        <x:v>low</x:v>
      </x:c>
      <x:c r="L11" s="14" t="str">
        <x:v>high</x:v>
      </x:c>
      <x:c r="M11" s="24" t="b">
        <x:v>0</x:v>
      </x:c>
      <x:c r="N11" s="14" t="str">
        <x:v>clear_single_word</x:v>
      </x:c>
      <x:c r="O11" s="15" t="str">
        <x:v>dev_ready</x:v>
      </x:c>
      <x:c r="P11" s="14" t="str">
        <x:v>İç harç bileşeni.</x:v>
      </x:c>
      <x:c r="Q11" s="25" t="e">
        <x:f>HYPERLINK(H11,"Open source")</x:f>
        <x:v>HYPERLINK is not implemented. linkLocation=https://ci.turkpatent.gov.tr/Files/GeographicalSigns/ffe64b55-cc1a-4e1f-90ff-1f9a90128a25.pdf, friendlyName=Open source</x:v>
      </x:c>
    </x:row>
    <x:row r="12">
      <x:c r="A12" s="14" t="str">
        <x:v>D009</x:v>
      </x:c>
      <x:c r="B12" s="14" t="str">
        <x:v>F009</x:v>
      </x:c>
      <x:c r="C12" s="14" t="str">
        <x:v>K2 — Ingredients &amp; Composition</x:v>
      </x:c>
      <x:c r="D12" s="14" t="str">
        <x:v>Regional</x:v>
      </x:c>
      <x:c r="E12" s="14" t="str">
        <x:v>Maraş Tarhanasının iki temel bileşeni nedir?</x:v>
      </x:c>
      <x:c r="F12" s="14" t="str">
        <x:v>Yoğurt ve dövme</x:v>
      </x:c>
      <x:c r="G12" s="14" t="str">
        <x:v>yoğurt ve dövme | yoğurt ve buğday yarması | yoğurt ile dövme | yoğurt ile buğday yarması</x:v>
      </x:c>
      <x:c r="H12" s="14" t="str">
        <x:v>https://ci.turkpatent.gov.tr/Files/GeographicalSigns/8c3d053b-bb27-4305-a46f-398c181d189e.pdf</x:v>
      </x:c>
      <x:c r="I12" s="14" t="str">
        <x:v>TÜRKPATENT tescil belgesi</x:v>
      </x:c>
      <x:c r="J12" s="14" t="str">
        <x:v>L0</x:v>
      </x:c>
      <x:c r="K12" s="14" t="str">
        <x:v>medium</x:v>
      </x:c>
      <x:c r="L12" s="14" t="str">
        <x:v>high</x:v>
      </x:c>
      <x:c r="M12" s="24" t="b">
        <x:v>0</x:v>
      </x:c>
      <x:c r="N12" s="14" t="str">
        <x:v>multi_word_accepted</x:v>
      </x:c>
      <x:c r="O12" s="15" t="str">
        <x:v>review_required</x:v>
      </x:c>
      <x:c r="P12" s="14" t="str">
        <x:v>REVIEW: İki bileşenin de zorunlu olduğu scoring kuralı onaylanmalı.</x:v>
      </x:c>
      <x:c r="Q12" s="25" t="e">
        <x:f>HYPERLINK(H12,"Open source")</x:f>
        <x:v>HYPERLINK is not implemented. linkLocation=https://ci.turkpatent.gov.tr/Files/GeographicalSigns/8c3d053b-bb27-4305-a46f-398c181d189e.pdf, friendlyName=Open source</x:v>
      </x:c>
    </x:row>
    <x:row r="13">
      <x:c r="A13" s="14" t="str">
        <x:v>D010</x:v>
      </x:c>
      <x:c r="B13" s="14" t="str">
        <x:v>F031</x:v>
      </x:c>
      <x:c r="C13" s="14" t="str">
        <x:v>K5 — Culinary Terminology &amp; Traditional Practices</x:v>
      </x:c>
      <x:c r="D13" s="14" t="str">
        <x:v>General/Heritage</x:v>
      </x:c>
      <x:c r="E13" s="14" t="str">
        <x:v>UNESCO tanımına göre çay geleneksel olarak hangi biçimdeki bardaklarda servis edilir?</x:v>
      </x:c>
      <x:c r="F13" s="14" t="str">
        <x:v>Armut biçimli bardak</x:v>
      </x:c>
      <x:c r="G13" s="14" t="str">
        <x:v>armut biçimli bardak | armut şeklinde bardak | armut biçimli bardaklar | armut şeklinde bardaklar</x:v>
      </x:c>
      <x:c r="H13" s="14" t="str">
        <x:v>https://ich.unesco.org/en/RL/culture-of-cay-tea-a-symbol-of-identity-hospitality-and-social-interaction-01685</x:v>
      </x:c>
      <x:c r="I13" s="14" t="str">
        <x:v>UNESCO ICH kaydı</x:v>
      </x:c>
      <x:c r="J13" s="14" t="str">
        <x:v>L0</x:v>
      </x:c>
      <x:c r="K13" s="14" t="str">
        <x:v>medium</x:v>
      </x:c>
      <x:c r="L13" s="14" t="str">
        <x:v>high</x:v>
      </x:c>
      <x:c r="M13" s="24" t="b">
        <x:v>0</x:v>
      </x:c>
      <x:c r="N13" s="14" t="str">
        <x:v>multi_word_accepted</x:v>
      </x:c>
      <x:c r="O13" s="15" t="str">
        <x:v>review_required</x:v>
      </x:c>
      <x:c r="P13" s="14" t="str">
        <x:v>REVIEW: 'İnce belli bardak' kabul listesine eklenmeli mi doğrulanmalı.</x:v>
      </x:c>
      <x:c r="Q13" s="25" t="e">
        <x:f>HYPERLINK(H13,"Open source")</x:f>
        <x:v>HYPERLINK is not implemented. linkLocation=https://ich.unesco.org/en/RL/culture-of-cay-tea-a-symbol-of-identity-hospitality-and-social-interaction-01685, friendlyName=Open source</x:v>
      </x:c>
    </x:row>
    <x:row r="14">
      <x:c r="A14" s="14" t="str">
        <x:v>D011</x:v>
      </x:c>
      <x:c r="B14" s="14" t="str">
        <x:v>F083</x:v>
      </x:c>
      <x:c r="C14" s="14" t="str">
        <x:v>K5 — Culinary Terminology &amp; Traditional Practices</x:v>
      </x:c>
      <x:c r="D14" s="14" t="str">
        <x:v>Regional/Heritage</x:v>
      </x:c>
      <x:c r="E14" s="14" t="str">
        <x:v>UNESCO kaydına göre Türkiye'de düğünlerde yassı ekmek kimlere verilir?</x:v>
      </x:c>
      <x:c r="F14" s="14" t="str">
        <x:v>Çiftin komşularına</x:v>
      </x:c>
      <x:c r="G14" s="14" t="str">
        <x:v>çiftin komşularına | yeni evli çiftin komşularına | komşulara</x:v>
      </x:c>
      <x:c r="H14" s="14" t="str">
        <x:v>https://ich.unesco.org/en/RL/flatbread-making-and-sharing-culture-lavash-katyrma-jupka-yufka-01181</x:v>
      </x:c>
      <x:c r="I14" s="14" t="str">
        <x:v>UNESCO ICH kaydı</x:v>
      </x:c>
      <x:c r="J14" s="14" t="str">
        <x:v>L0</x:v>
      </x:c>
      <x:c r="K14" s="14" t="str">
        <x:v>low</x:v>
      </x:c>
      <x:c r="L14" s="14" t="str">
        <x:v>high</x:v>
      </x:c>
      <x:c r="M14" s="24" t="b">
        <x:v>0</x:v>
      </x:c>
      <x:c r="N14" s="14" t="str">
        <x:v>multi_word_accepted</x:v>
      </x:c>
      <x:c r="O14" s="15" t="str">
        <x:v>dev_ready</x:v>
      </x:c>
      <x:c r="P14" s="14" t="str">
        <x:v>Türkiye'ye özgü düğün bağlamı.</x:v>
      </x:c>
      <x:c r="Q14" s="25" t="e">
        <x:f>HYPERLINK(H14,"Open source")</x:f>
        <x:v>HYPERLINK is not implemented. linkLocation=https://ich.unesco.org/en/RL/flatbread-making-and-sharing-culture-lavash-katyrma-jupka-yufka-01181, friendlyName=Open source</x:v>
      </x:c>
    </x:row>
    <x:row r="15">
      <x:c r="A15" s="14" t="str">
        <x:v>D012</x:v>
      </x:c>
      <x:c r="B15" s="14" t="str">
        <x:v>F087</x:v>
      </x:c>
      <x:c r="C15" s="14" t="str">
        <x:v>K5 — Culinary Terminology &amp; Traditional Practices</x:v>
      </x:c>
      <x:c r="D15" s="14" t="str">
        <x:v>Local/Heritage</x:v>
      </x:c>
      <x:c r="E15" s="14" t="str">
        <x:v>Törensel Keşkek geleneğinde buğday taşınırken hangi iki çalgı çalınır?</x:v>
      </x:c>
      <x:c r="F15" s="14" t="str">
        <x:v>Davul ve zurna</x:v>
      </x:c>
      <x:c r="G15" s="14" t="str">
        <x:v>davul ve zurna | zurna ve davul</x:v>
      </x:c>
      <x:c r="H15" s="14" t="str">
        <x:v>https://ich.unesco.org/en/RL/ceremonial-keskek-tradition-00388</x:v>
      </x:c>
      <x:c r="I15" s="14" t="str">
        <x:v>UNESCO ICH kaydı</x:v>
      </x:c>
      <x:c r="J15" s="14" t="str">
        <x:v>L0</x:v>
      </x:c>
      <x:c r="K15" s="14" t="str">
        <x:v>low</x:v>
      </x:c>
      <x:c r="L15" s="14" t="str">
        <x:v>high</x:v>
      </x:c>
      <x:c r="M15" s="24" t="b">
        <x:v>0</x:v>
      </x:c>
      <x:c r="N15" s="14" t="str">
        <x:v>multi_word_accepted</x:v>
      </x:c>
      <x:c r="O15" s="15" t="str">
        <x:v>dev_ready</x:v>
      </x:c>
      <x:c r="P15" s="14" t="str">
        <x:v>İki çalgı da gerekli; sıra önemsiz.</x:v>
      </x:c>
      <x:c r="Q15" s="25" t="e">
        <x:f>HYPERLINK(H15,"Open source")</x:f>
        <x:v>HYPERLINK is not implemented. linkLocation=https://ich.unesco.org/en/RL/ceremonial-keskek-tradition-00388, friendlyName=Open source</x:v>
      </x:c>
    </x:row>
    <x:row r="16">
      <x:c r="A16" s="14" t="str">
        <x:v>D013</x:v>
      </x:c>
      <x:c r="B16" s="14" t="str">
        <x:v>F100</x:v>
      </x:c>
      <x:c r="C16" s="14" t="str">
        <x:v>K6 — Culinary History, Heritage &amp; Cultural Context</x:v>
      </x:c>
      <x:c r="D16" s="14" t="str">
        <x:v>General/Heritage</x:v>
      </x:c>
      <x:c r="E16" s="14" t="str">
        <x:v>Kültür Portalına göre aşurenin temsil ettiği iki temel kavram nedir?</x:v>
      </x:c>
      <x:c r="F16" s="14" t="str">
        <x:v>Bolluk ve bereket</x:v>
      </x:c>
      <x:c r="G16" s="14" t="str">
        <x:v>bolluk ve bereket | bereket ve bolluk</x:v>
      </x:c>
      <x:c r="H16" s="14" t="str">
        <x:v>https://kulturportali.gov.tr/portal/geleneksel-lezzetler--7-ozel-gun-yemegi</x:v>
      </x:c>
      <x:c r="I16" s="14" t="str">
        <x:v>Kültür ve Turizm Bakanlığı Kültür Portalı</x:v>
      </x:c>
      <x:c r="J16" s="14" t="str">
        <x:v>L0</x:v>
      </x:c>
      <x:c r="K16" s="14" t="str">
        <x:v>low</x:v>
      </x:c>
      <x:c r="L16" s="14" t="str">
        <x:v>high</x:v>
      </x:c>
      <x:c r="M16" s="24" t="b">
        <x:v>0</x:v>
      </x:c>
      <x:c r="N16" s="14" t="str">
        <x:v>multi_word_accepted</x:v>
      </x:c>
      <x:c r="O16" s="15" t="str">
        <x:v>dev_ready</x:v>
      </x:c>
      <x:c r="P16" s="14" t="str">
        <x:v>İki kavram da gerekli; sıra önemsiz.</x:v>
      </x:c>
      <x:c r="Q16" s="25" t="e">
        <x:f>HYPERLINK(H16,"Open source")</x:f>
        <x:v>HYPERLINK is not implemented. linkLocation=https://kulturportali.gov.tr/portal/geleneksel-lezzetler--7-ozel-gun-yemegi, friendlyName=Open source</x:v>
      </x:c>
    </x:row>
    <x:row r="17">
      <x:c r="A17" s="14" t="str">
        <x:v>D014</x:v>
      </x:c>
      <x:c r="B17" s="14" t="str">
        <x:v>F112</x:v>
      </x:c>
      <x:c r="C17" s="14" t="str">
        <x:v>K6 — Culinary History, Heritage &amp; Cultural Context</x:v>
      </x:c>
      <x:c r="D17" s="14" t="str">
        <x:v>Local/Heritage</x:v>
      </x:c>
      <x:c r="E17" s="14" t="str">
        <x:v>Tekirdağ'daki Herise geleneğinde düğün için hazırlanan yemekten özellikle hangi iki gruba gönderilir?</x:v>
      </x:c>
      <x:c r="F17" s="14" t="str">
        <x:v>Hasta ve yaşlılar</x:v>
      </x:c>
      <x:c r="G17" s="14" t="str">
        <x:v>hasta ve yaşlılar | yaşlı ve hastalar | hastalara ve yaşlılara | yaşlılara ve hastalara</x:v>
      </x:c>
      <x:c r="H17" s="14" t="str">
        <x:v>https://www.kulturportali.gov.tr/turkiye/tekirdag/neyenir/herise-keskek</x:v>
      </x:c>
      <x:c r="I17" s="14" t="str">
        <x:v>Kültür ve Turizm Bakanlığı Kültür Portalı</x:v>
      </x:c>
      <x:c r="J17" s="14" t="str">
        <x:v>L0</x:v>
      </x:c>
      <x:c r="K17" s="14" t="str">
        <x:v>low</x:v>
      </x:c>
      <x:c r="L17" s="14" t="str">
        <x:v>high</x:v>
      </x:c>
      <x:c r="M17" s="24" t="b">
        <x:v>0</x:v>
      </x:c>
      <x:c r="N17" s="14" t="str">
        <x:v>multi_word_accepted</x:v>
      </x:c>
      <x:c r="O17" s="15" t="str">
        <x:v>dev_ready</x:v>
      </x:c>
      <x:c r="P17" s="14" t="str">
        <x:v>İki hedef grup da gerekli.</x:v>
      </x:c>
      <x:c r="Q17" s="25" t="e">
        <x:f>HYPERLINK(H17,"Open source")</x:f>
        <x:v>HYPERLINK is not implemented. linkLocation=https://www.kulturportali.gov.tr/turkiye/tekirdag/neyenir/herise-keskek, friendlyName=Open source</x:v>
      </x:c>
    </x:row>
    <x:row r="18">
      <x:c r="A18" s="14" t="str">
        <x:v>D015</x:v>
      </x:c>
      <x:c r="B18" s="14" t="str">
        <x:v>F059</x:v>
      </x:c>
      <x:c r="C18" s="14" t="str">
        <x:v>K5 — Culinary Terminology &amp; Traditional Practices</x:v>
      </x:c>
      <x:c r="D18" s="14" t="str">
        <x:v>Local/Technical</x:v>
      </x:c>
      <x:c r="E18" s="14" t="str">
        <x:v>Tarsus Humusunda nohutların ezildiği geleneksel bakır kabın adı nedir?</x:v>
      </x:c>
      <x:c r="F18" s="14" t="str">
        <x:v>Humus Tası</x:v>
      </x:c>
      <x:c r="G18" s="14" t="str">
        <x:v>humus tası | humus tasi</x:v>
      </x:c>
      <x:c r="H18" s="14" t="str">
        <x:v>https://ci.turkpatent.gov.tr/Files/GeographicalSigns/226.pdf</x:v>
      </x:c>
      <x:c r="I18" s="14" t="str">
        <x:v>TÜRKPATENT tescil belgesi</x:v>
      </x:c>
      <x:c r="J18" s="14" t="str">
        <x:v>L0</x:v>
      </x:c>
      <x:c r="K18" s="14" t="str">
        <x:v>low</x:v>
      </x:c>
      <x:c r="L18" s="14" t="str">
        <x:v>high</x:v>
      </x:c>
      <x:c r="M18" s="24" t="b">
        <x:v>0</x:v>
      </x:c>
      <x:c r="N18" s="14" t="str">
        <x:v>local_terminology</x:v>
      </x:c>
      <x:c r="O18" s="15" t="str">
        <x:v>dev_ready</x:v>
      </x:c>
      <x:c r="P18" s="14" t="str">
        <x:v>Özel kap adı.</x:v>
      </x:c>
      <x:c r="Q18" s="25" t="e">
        <x:f>HYPERLINK(H18,"Open source")</x:f>
        <x:v>HYPERLINK is not implemented. linkLocation=https://ci.turkpatent.gov.tr/Files/GeographicalSigns/226.pdf, friendlyName=Open source</x:v>
      </x:c>
    </x:row>
    <x:row r="19">
      <x:c r="A19" s="14" t="str">
        <x:v>D016</x:v>
      </x:c>
      <x:c r="B19" s="14" t="str">
        <x:v>F102</x:v>
      </x:c>
      <x:c r="C19" s="14" t="str">
        <x:v>K5 — Culinary Terminology &amp; Traditional Practices</x:v>
      </x:c>
      <x:c r="D19" s="14" t="str">
        <x:v>Local</x:v>
      </x:c>
      <x:c r="E19" s="14" t="str">
        <x:v>İzmir kültüründe lokmanın özel günlerde hazırlanarak halka ücretsiz dağıtılması geleneğine ne ad verilir?</x:v>
      </x:c>
      <x:c r="F19" s="14" t="str">
        <x:v>Lokma dökmek</x:v>
      </x:c>
      <x:c r="G19" s="14" t="str">
        <x:v>lokma dökmek | lokma döktürmek</x:v>
      </x:c>
      <x:c r="H19" s="14" t="str">
        <x:v>https://kulturportali.gov.tr/turkiye/izmir/neyenir/lokma-zmir-lokmasi</x:v>
      </x:c>
      <x:c r="I19" s="14" t="str">
        <x:v>Kültür ve Turizm Bakanlığı Kültür Portalı</x:v>
      </x:c>
      <x:c r="J19" s="14" t="str">
        <x:v>L0</x:v>
      </x:c>
      <x:c r="K19" s="14" t="str">
        <x:v>low</x:v>
      </x:c>
      <x:c r="L19" s="14" t="str">
        <x:v>high</x:v>
      </x:c>
      <x:c r="M19" s="24" t="b">
        <x:v>0</x:v>
      </x:c>
      <x:c r="N19" s="14" t="str">
        <x:v>local_terminology</x:v>
      </x:c>
      <x:c r="O19" s="15" t="str">
        <x:v>dev_ready</x:v>
      </x:c>
      <x:c r="P19" s="14" t="str">
        <x:v>İki yerel fiil biçimi kabul edilir.</x:v>
      </x:c>
      <x:c r="Q19" s="25" t="e">
        <x:f>HYPERLINK(H19,"Open source")</x:f>
        <x:v>HYPERLINK is not implemented. linkLocation=https://kulturportali.gov.tr/turkiye/izmir/neyenir/lokma-zmir-lokmasi, friendlyName=Open source</x:v>
      </x:c>
    </x:row>
    <x:row r="20">
      <x:c r="A20" s="14" t="str">
        <x:v>D017</x:v>
      </x:c>
      <x:c r="B20" s="14" t="str">
        <x:v>F104</x:v>
      </x:c>
      <x:c r="C20" s="14" t="str">
        <x:v>K5 — Culinary Terminology &amp; Traditional Practices</x:v>
      </x:c>
      <x:c r="D20" s="14" t="str">
        <x:v>Local</x:v>
      </x:c>
      <x:c r="E20" s="14" t="str">
        <x:v>İzmir'in bazı yörelerinde Sura'nın üzerine sarılan yağlı zar tabakasına verilen geleneksel adlardan biri nedir?</x:v>
      </x:c>
      <x:c r="F20" s="14" t="str">
        <x:v>Gömlek</x:v>
      </x:c>
      <x:c r="G20" s="14" t="str">
        <x:v>gömlek | çember</x:v>
      </x:c>
      <x:c r="H20" s="14" t="str">
        <x:v>https://www.kulturportali.gov.tr/turkiye/izmir/neyenir/cop-ss</x:v>
      </x:c>
      <x:c r="I20" s="14" t="str">
        <x:v>Kültür ve Turizm Bakanlığı Kültür Portalı</x:v>
      </x:c>
      <x:c r="J20" s="14" t="str">
        <x:v>L0</x:v>
      </x:c>
      <x:c r="K20" s="14" t="str">
        <x:v>medium</x:v>
      </x:c>
      <x:c r="L20" s="14" t="str">
        <x:v>high</x:v>
      </x:c>
      <x:c r="M20" s="24" t="b">
        <x:v>0</x:v>
      </x:c>
      <x:c r="N20" s="14" t="str">
        <x:v>local_terminology</x:v>
      </x:c>
      <x:c r="O20" s="15" t="str">
        <x:v>review_required</x:v>
      </x:c>
      <x:c r="P20" s="14" t="str">
        <x:v>REVIEW: İki yerel adın eşdeğer kabulü doğrulanmalı.</x:v>
      </x:c>
      <x:c r="Q20" s="25" t="e">
        <x:f>HYPERLINK(H20,"Open source")</x:f>
        <x:v>HYPERLINK is not implemented. linkLocation=https://www.kulturportali.gov.tr/turkiye/izmir/neyenir/cop-ss, friendlyName=Open source</x:v>
      </x:c>
    </x:row>
    <x:row r="21">
      <x:c r="A21" s="14" t="str">
        <x:v>D018</x:v>
      </x:c>
      <x:c r="B21" s="14" t="str">
        <x:v>F106</x:v>
      </x:c>
      <x:c r="C21" s="14" t="str">
        <x:v>K5 — Culinary Terminology &amp; Traditional Practices</x:v>
      </x:c>
      <x:c r="D21" s="14" t="str">
        <x:v>Local</x:v>
      </x:c>
      <x:c r="E21" s="14" t="str">
        <x:v>İzmir mutfağındaki cibez, Tire civarında hangi adla da bilinir?</x:v>
      </x:c>
      <x:c r="F21" s="14" t="str">
        <x:v>Cücük</x:v>
      </x:c>
      <x:c r="G21" s="14" t="str">
        <x:v>cücük</x:v>
      </x:c>
      <x:c r="H21" s="14" t="str">
        <x:v>https://kulturportali.gov.tr/turkiye/izmir/neyenir/cbez-cibes-salatasi</x:v>
      </x:c>
      <x:c r="I21" s="14" t="str">
        <x:v>Kültür ve Turizm Bakanlığı Kültür Portalı</x:v>
      </x:c>
      <x:c r="J21" s="14" t="str">
        <x:v>L1</x:v>
      </x:c>
      <x:c r="K21" s="14" t="str">
        <x:v>low</x:v>
      </x:c>
      <x:c r="L21" s="14" t="str">
        <x:v>high</x:v>
      </x:c>
      <x:c r="M21" s="24" t="b">
        <x:v>0</x:v>
      </x:c>
      <x:c r="N21" s="14" t="str">
        <x:v>local_terminology</x:v>
      </x:c>
      <x:c r="O21" s="15" t="str">
        <x:v>dev_ready</x:v>
      </x:c>
      <x:c r="P21" s="14" t="str">
        <x:v>L1: yöre ve ana terim bağlamı cevabı daraltır.</x:v>
      </x:c>
      <x:c r="Q21" s="25" t="e">
        <x:f>HYPERLINK(H21,"Open source")</x:f>
        <x:v>HYPERLINK is not implemented. linkLocation=https://kulturportali.gov.tr/turkiye/izmir/neyenir/cbez-cibes-salatasi, friendlyName=Open source</x:v>
      </x:c>
    </x:row>
    <x:row r="22">
      <x:c r="A22" s="14" t="str">
        <x:v>D019</x:v>
      </x:c>
      <x:c r="B22" s="14" t="str">
        <x:v>F113</x:v>
      </x:c>
      <x:c r="C22" s="14" t="str">
        <x:v>K5 — Culinary Terminology &amp; Traditional Practices</x:v>
      </x:c>
      <x:c r="D22" s="14" t="str">
        <x:v>Local</x:v>
      </x:c>
      <x:c r="E22" s="14" t="str">
        <x:v>Edirne mutfağındaki Kaçamak başka hangi adla bilinir?</x:v>
      </x:c>
      <x:c r="F22" s="14" t="str">
        <x:v>Mamaliga</x:v>
      </x:c>
      <x:c r="G22" s="14" t="str">
        <x:v>mamaliga</x:v>
      </x:c>
      <x:c r="H22" s="14" t="str">
        <x:v>https://www.kulturportali.gov.tr/turkiye/edirne/neyenir/kacamak-2</x:v>
      </x:c>
      <x:c r="I22" s="14" t="str">
        <x:v>Kültür ve Turizm Bakanlığı Kültür Portalı</x:v>
      </x:c>
      <x:c r="J22" s="14" t="str">
        <x:v>L1</x:v>
      </x:c>
      <x:c r="K22" s="14" t="str">
        <x:v>low</x:v>
      </x:c>
      <x:c r="L22" s="14" t="str">
        <x:v>high</x:v>
      </x:c>
      <x:c r="M22" s="24" t="b">
        <x:v>0</x:v>
      </x:c>
      <x:c r="N22" s="14" t="str">
        <x:v>local_terminology</x:v>
      </x:c>
      <x:c r="O22" s="15" t="str">
        <x:v>dev_ready</x:v>
      </x:c>
      <x:c r="P22" s="14" t="str">
        <x:v>L1: ana yemek adı bağlam sağlar.</x:v>
      </x:c>
      <x:c r="Q22" s="25" t="e">
        <x:f>HYPERLINK(H22,"Open source")</x:f>
        <x:v>HYPERLINK is not implemented. linkLocation=https://www.kulturportali.gov.tr/turkiye/edirne/neyenir/kacamak-2, friendlyName=Open source</x:v>
      </x:c>
    </x:row>
    <x:row r="23">
      <x:c r="A23" s="14" t="str">
        <x:v>D020</x:v>
      </x:c>
      <x:c r="B23" s="14" t="str">
        <x:v>F116</x:v>
      </x:c>
      <x:c r="C23" s="14" t="str">
        <x:v>K5 — Culinary Terminology &amp; Traditional Practices</x:v>
      </x:c>
      <x:c r="D23" s="14" t="str">
        <x:v>Local/Heritage</x:v>
      </x:c>
      <x:c r="E23" s="14" t="str">
        <x:v>Afyonkarahisar'da doğumdan sonra misafirlere ikram edilen sıra yemeklerine ne ad verilir?</x:v>
      </x:c>
      <x:c r="F23" s="14" t="str">
        <x:v>Takım</x:v>
      </x:c>
      <x:c r="G23" s="14" t="str">
        <x:v>takım</x:v>
      </x:c>
      <x:c r="H23" s="14" t="str">
        <x:v>https://www.kulturportali.gov.tr/turkiye/afyonkarahisar/kulturatlasi/sira-yemegi</x:v>
      </x:c>
      <x:c r="I23" s="14" t="str">
        <x:v>Kültür ve Turizm Bakanlığı Kültür Portalı</x:v>
      </x:c>
      <x:c r="J23" s="14" t="str">
        <x:v>L0</x:v>
      </x:c>
      <x:c r="K23" s="14" t="str">
        <x:v>low</x:v>
      </x:c>
      <x:c r="L23" s="14" t="str">
        <x:v>high</x:v>
      </x:c>
      <x:c r="M23" s="24" t="b">
        <x:v>0</x:v>
      </x:c>
      <x:c r="N23" s="14" t="str">
        <x:v>local_terminology</x:v>
      </x:c>
      <x:c r="O23" s="15" t="str">
        <x:v>dev_ready</x:v>
      </x:c>
      <x:c r="P23" s="14" t="str">
        <x:v>Yerel doğum yemeği terminolojisi.</x:v>
      </x:c>
      <x:c r="Q23" s="25" t="e">
        <x:f>HYPERLINK(H23,"Open source")</x:f>
        <x:v>HYPERLINK is not implemented. linkLocation=https://www.kulturportali.gov.tr/turkiye/afyonkarahisar/kulturatlasi/sira-yemegi, friendlyName=Open source</x:v>
      </x:c>
    </x:row>
    <x:row r="24">
      <x:c r="A24" s="14" t="str">
        <x:v>D021</x:v>
      </x:c>
      <x:c r="B24" s="14" t="str">
        <x:v>F117</x:v>
      </x:c>
      <x:c r="C24" s="14" t="str">
        <x:v>K6 — Culinary History, Heritage &amp; Cultural Context</x:v>
      </x:c>
      <x:c r="D24" s="14" t="str">
        <x:v>Local/Heritage</x:v>
      </x:c>
      <x:c r="E24" s="14" t="str">
        <x:v>Afyonkarahisar'da nişan gecesinin ertesi günü yapılan geleneksel yemekli davetin adı nedir?</x:v>
      </x:c>
      <x:c r="F24" s="14" t="str">
        <x:v>Zinardı daveti</x:v>
      </x:c>
      <x:c r="G24" s="14" t="str">
        <x:v>zinardı daveti | zinardı | sini ardı daveti | sini ardı</x:v>
      </x:c>
      <x:c r="H24" s="14" t="str">
        <x:v>https://www.kulturportali.gov.tr/turkiye/afyonkarahisar/kulturatlasi/sira-yemegi</x:v>
      </x:c>
      <x:c r="I24" s="14" t="str">
        <x:v>Kültür ve Turizm Bakanlığı Kültür Portalı</x:v>
      </x:c>
      <x:c r="J24" s="14" t="str">
        <x:v>L0</x:v>
      </x:c>
      <x:c r="K24" s="14" t="str">
        <x:v>medium</x:v>
      </x:c>
      <x:c r="L24" s="14" t="str">
        <x:v>high</x:v>
      </x:c>
      <x:c r="M24" s="24" t="b">
        <x:v>0</x:v>
      </x:c>
      <x:c r="N24" s="14" t="str">
        <x:v>local_terminology</x:v>
      </x:c>
      <x:c r="O24" s="15" t="str">
        <x:v>review_required</x:v>
      </x:c>
      <x:c r="P24" s="14" t="str">
        <x:v>REVIEW: Zinardı/sini ardı yazım ve kısa yanıt varyantları onaylanmalı.</x:v>
      </x:c>
      <x:c r="Q24" s="25" t="e">
        <x:f>HYPERLINK(H24,"Open source")</x:f>
        <x:v>HYPERLINK is not implemented. linkLocation=https://www.kulturportali.gov.tr/turkiye/afyonkarahisar/kulturatlasi/sira-yemegi, friendlyName=Open source</x:v>
      </x:c>
    </x:row>
    <x:row r="25">
      <x:c r="A25" s="14" t="str">
        <x:v>D022</x:v>
      </x:c>
      <x:c r="B25" s="14" t="str">
        <x:v>F118</x:v>
      </x:c>
      <x:c r="C25" s="14" t="str">
        <x:v>K5 — Culinary Terminology &amp; Traditional Practices</x:v>
      </x:c>
      <x:c r="D25" s="14" t="str">
        <x:v>Local/Technical</x:v>
      </x:c>
      <x:c r="E25" s="14" t="str">
        <x:v>Afyonkarahisar sıra yemeklerinde yemeklerin sofraya geliş sırasını düzenleme işine ne ad verilir?</x:v>
      </x:c>
      <x:c r="F25" s="14" t="str">
        <x:v>Yemek kurtarma</x:v>
      </x:c>
      <x:c r="G25" s="14" t="str">
        <x:v>yemek kurtarma</x:v>
      </x:c>
      <x:c r="H25" s="14" t="str">
        <x:v>https://www.kulturportali.gov.tr/turkiye/afyonkarahisar/kulturatlasi/sira-yemegi</x:v>
      </x:c>
      <x:c r="I25" s="14" t="str">
        <x:v>Kültür ve Turizm Bakanlığı Kültür Portalı</x:v>
      </x:c>
      <x:c r="J25" s="14" t="str">
        <x:v>L0</x:v>
      </x:c>
      <x:c r="K25" s="14" t="str">
        <x:v>low</x:v>
      </x:c>
      <x:c r="L25" s="14" t="str">
        <x:v>high</x:v>
      </x:c>
      <x:c r="M25" s="24" t="b">
        <x:v>0</x:v>
      </x:c>
      <x:c r="N25" s="14" t="str">
        <x:v>local_terminology</x:v>
      </x:c>
      <x:c r="O25" s="15" t="str">
        <x:v>dev_ready</x:v>
      </x:c>
      <x:c r="P25" s="14" t="str">
        <x:v>Yerel servis düzenleme terimi.</x:v>
      </x:c>
      <x:c r="Q25" s="25" t="e">
        <x:f>HYPERLINK(H25,"Open source")</x:f>
        <x:v>HYPERLINK is not implemented. linkLocation=https://www.kulturportali.gov.tr/turkiye/afyonkarahisar/kulturatlasi/sira-yemegi, friendlyName=Open source</x:v>
      </x:c>
    </x:row>
    <x:row r="26">
      <x:c r="A26" s="14" t="str">
        <x:v>D023</x:v>
      </x:c>
      <x:c r="B26" s="14" t="str">
        <x:v>F008</x:v>
      </x:c>
      <x:c r="C26" s="14" t="str">
        <x:v>K2 — Ingredients &amp; Composition</x:v>
      </x:c>
      <x:c r="D26" s="14" t="str">
        <x:v>Technical</x:v>
      </x:c>
      <x:c r="E26" s="14" t="str">
        <x:v>Kuru Antep Baklavasında raf ömrünü uzatmak amacıyla kullanılmayan bileşen nedir?</x:v>
      </x:c>
      <x:c r="F26" s="14" t="str">
        <x:v>Kaymak</x:v>
      </x:c>
      <x:c r="G26" s="14" t="str">
        <x:v>kaymak</x:v>
      </x:c>
      <x:c r="H26" s="14" t="str">
        <x:v>https://ci.turkpatent.gov.tr/Files/GeographicalSigns/0cbbdd44-8cae-4ef4-af94-b2889a94f28c.pdf</x:v>
      </x:c>
      <x:c r="I26" s="14" t="str">
        <x:v>TÜRKPATENT tescil belgesi</x:v>
      </x:c>
      <x:c r="J26" s="14" t="str">
        <x:v>L1</x:v>
      </x:c>
      <x:c r="K26" s="14" t="str">
        <x:v>low</x:v>
      </x:c>
      <x:c r="L26" s="14" t="str">
        <x:v>high</x:v>
      </x:c>
      <x:c r="M26" s="24" t="b">
        <x:v>0</x:v>
      </x:c>
      <x:c r="N26" s="14" t="str">
        <x:v>technical_culinary</x:v>
      </x:c>
      <x:c r="O26" s="15" t="str">
        <x:v>dev_ready</x:v>
      </x:c>
      <x:c r="P26" s="14" t="str">
        <x:v>L1: 'kuru' ürün türü bağlam sağlar.</x:v>
      </x:c>
      <x:c r="Q26" s="25" t="e">
        <x:f>HYPERLINK(H26,"Open source")</x:f>
        <x:v>HYPERLINK is not implemented. linkLocation=https://ci.turkpatent.gov.tr/Files/GeographicalSigns/0cbbdd44-8cae-4ef4-af94-b2889a94f28c.pdf, friendlyName=Open source</x:v>
      </x:c>
    </x:row>
    <x:row r="27">
      <x:c r="A27" s="14" t="str">
        <x:v>D024</x:v>
      </x:c>
      <x:c r="B27" s="14" t="str">
        <x:v>F016</x:v>
      </x:c>
      <x:c r="C27" s="14" t="str">
        <x:v>K3 — Preparation &amp; Cooking Techniques</x:v>
      </x:c>
      <x:c r="D27" s="14" t="str">
        <x:v>Technical</x:v>
      </x:c>
      <x:c r="E27" s="14" t="str">
        <x:v>Maraş Tarhanası üretiminde yoğurt, dövmeye hangi aşamada eklenir?</x:v>
      </x:c>
      <x:c r="F27" s="14" t="str">
        <x:v>Pişirme ve soğutma sonrasında</x:v>
      </x:c>
      <x:c r="G27" s="14" t="str">
        <x:v>pişirme ve soğutma sonrasında | pişirmeden ve soğutmadan sonra | dövme pişirilip soğutulduktan sonra | pişmiş dövme soğutulduktan sonra</x:v>
      </x:c>
      <x:c r="H27" s="14" t="str">
        <x:v>https://ci.turkpatent.gov.tr/Files/GeographicalSigns/8c3d053b-bb27-4305-a46f-398c181d189e.pdf</x:v>
      </x:c>
      <x:c r="I27" s="14" t="str">
        <x:v>TÜRKPATENT tescil belgesi</x:v>
      </x:c>
      <x:c r="J27" s="14" t="str">
        <x:v>L0</x:v>
      </x:c>
      <x:c r="K27" s="14" t="str">
        <x:v>medium</x:v>
      </x:c>
      <x:c r="L27" s="14" t="str">
        <x:v>high</x:v>
      </x:c>
      <x:c r="M27" s="24" t="b">
        <x:v>0</x:v>
      </x:c>
      <x:c r="N27" s="14" t="str">
        <x:v>technical_culinary</x:v>
      </x:c>
      <x:c r="O27" s="15" t="str">
        <x:v>review_required</x:v>
      </x:c>
      <x:c r="P27" s="14" t="str">
        <x:v>REVIEW: 60 °C'ye kadar soğutma ayrıntısının zorunluluğu belirlenmeli.</x:v>
      </x:c>
      <x:c r="Q27" s="25" t="e">
        <x:f>HYPERLINK(H27,"Open source")</x:f>
        <x:v>HYPERLINK is not implemented. linkLocation=https://ci.turkpatent.gov.tr/Files/GeographicalSigns/8c3d053b-bb27-4305-a46f-398c181d189e.pdf, friendlyName=Open source</x:v>
      </x:c>
    </x:row>
    <x:row r="28">
      <x:c r="A28" s="14" t="str">
        <x:v>D025</x:v>
      </x:c>
      <x:c r="B28" s="14" t="str">
        <x:v>F018</x:v>
      </x:c>
      <x:c r="C28" s="14" t="str">
        <x:v>K3 — Preparation &amp; Cooking Techniques</x:v>
      </x:c>
      <x:c r="D28" s="14" t="str">
        <x:v>Technical</x:v>
      </x:c>
      <x:c r="E28" s="14" t="str">
        <x:v>Afyon Sucuğu hamuru hangi tür bağırsağa doldurulur?</x:v>
      </x:c>
      <x:c r="F28" s="14" t="str">
        <x:v>Sığır bağırsağı</x:v>
      </x:c>
      <x:c r="G28" s="14" t="str">
        <x:v>sığır bağırsağı | sığır bağırsağına</x:v>
      </x:c>
      <x:c r="H28" s="14" t="str">
        <x:v>https://ci.turkpatent.gov.tr/Files/GeographicalSigns/11b3bb14-c7b9-4447-89c6-e0858d9f2688.pdf</x:v>
      </x:c>
      <x:c r="I28" s="14" t="str">
        <x:v>TÜRKPATENT tescil belgesi</x:v>
      </x:c>
      <x:c r="J28" s="14" t="str">
        <x:v>L0</x:v>
      </x:c>
      <x:c r="K28" s="14" t="str">
        <x:v>low</x:v>
      </x:c>
      <x:c r="L28" s="14" t="str">
        <x:v>high</x:v>
      </x:c>
      <x:c r="M28" s="24" t="b">
        <x:v>0</x:v>
      </x:c>
      <x:c r="N28" s="14" t="str">
        <x:v>technical_culinary</x:v>
      </x:c>
      <x:c r="O28" s="15" t="str">
        <x:v>dev_ready</x:v>
      </x:c>
      <x:c r="P28" s="14" t="str">
        <x:v>Dolum malzemesi.</x:v>
      </x:c>
      <x:c r="Q28" s="25" t="e">
        <x:f>HYPERLINK(H28,"Open source")</x:f>
        <x:v>HYPERLINK is not implemented. linkLocation=https://ci.turkpatent.gov.tr/Files/GeographicalSigns/11b3bb14-c7b9-4447-89c6-e0858d9f2688.pdf, friendlyName=Open source</x:v>
      </x:c>
    </x:row>
    <x:row r="29">
      <x:c r="A29" s="14" t="str">
        <x:v>D026</x:v>
      </x:c>
      <x:c r="B29" s="14" t="str">
        <x:v>F052</x:v>
      </x:c>
      <x:c r="C29" s="14" t="str">
        <x:v>K3 — Preparation &amp; Cooking Techniques</x:v>
      </x:c>
      <x:c r="D29" s="14" t="str">
        <x:v>Local/Technical</x:v>
      </x:c>
      <x:c r="E29" s="14" t="str">
        <x:v>Malatya Kâğıt Kebabının taş fırını geleneksel olarak hangi odunla ısıtılır?</x:v>
      </x:c>
      <x:c r="F29" s="14" t="str">
        <x:v>Meşe odunu</x:v>
      </x:c>
      <x:c r="G29" s="14" t="str">
        <x:v>meşe odunu | meşe</x:v>
      </x:c>
      <x:c r="H29" s="14" t="str">
        <x:v>https://ci.turkpatent.gov.tr/Files/GeographicalSigns/024913eb-9b44-4d6b-8a23-d1a173884fd5.pdf</x:v>
      </x:c>
      <x:c r="I29" s="14" t="str">
        <x:v>TÜRKPATENT tescil belgesi</x:v>
      </x:c>
      <x:c r="J29" s="14" t="str">
        <x:v>L0</x:v>
      </x:c>
      <x:c r="K29" s="14" t="str">
        <x:v>low</x:v>
      </x:c>
      <x:c r="L29" s="14" t="str">
        <x:v>high</x:v>
      </x:c>
      <x:c r="M29" s="24" t="b">
        <x:v>0</x:v>
      </x:c>
      <x:c r="N29" s="14" t="str">
        <x:v>technical_culinary</x:v>
      </x:c>
      <x:c r="O29" s="15" t="str">
        <x:v>dev_ready</x:v>
      </x:c>
      <x:c r="P29" s="14" t="str">
        <x:v>Yakıt türü.</x:v>
      </x:c>
      <x:c r="Q29" s="25" t="e">
        <x:f>HYPERLINK(H29,"Open source")</x:f>
        <x:v>HYPERLINK is not implemented. linkLocation=https://ci.turkpatent.gov.tr/Files/GeographicalSigns/024913eb-9b44-4d6b-8a23-d1a173884fd5.pdf, friendlyName=Open source</x:v>
      </x:c>
    </x:row>
    <x:row r="30">
      <x:c r="A30" s="14" t="str">
        <x:v>D027</x:v>
      </x:c>
      <x:c r="B30" s="14" t="str">
        <x:v>F062</x:v>
      </x:c>
      <x:c r="C30" s="14" t="str">
        <x:v>K3 — Preparation &amp; Cooking Techniques</x:v>
      </x:c>
      <x:c r="D30" s="14" t="str">
        <x:v>Local/Technical</x:v>
      </x:c>
      <x:c r="E30" s="14" t="str">
        <x:v>Ordu Tostu için üretilen özel ekmek geleneksel olarak hangi yakıtla pişirilir?</x:v>
      </x:c>
      <x:c r="F30" s="14" t="str">
        <x:v>Fındık kabuğu</x:v>
      </x:c>
      <x:c r="G30" s="14" t="str">
        <x:v>fındık kabuğu | fındık kabuğu ateşi | fındık kabuğu ateşinde</x:v>
      </x:c>
      <x:c r="H30" s="14" t="str">
        <x:v>https://ci.turkpatent.gov.tr/Files/GeographicalSigns/3612f8b8-12ff-4c4d-bc58-896f37cec09b.pdf</x:v>
      </x:c>
      <x:c r="I30" s="14" t="str">
        <x:v>TÜRKPATENT tescil belgesi</x:v>
      </x:c>
      <x:c r="J30" s="14" t="str">
        <x:v>L0</x:v>
      </x:c>
      <x:c r="K30" s="14" t="str">
        <x:v>low</x:v>
      </x:c>
      <x:c r="L30" s="14" t="str">
        <x:v>high</x:v>
      </x:c>
      <x:c r="M30" s="24" t="b">
        <x:v>0</x:v>
      </x:c>
      <x:c r="N30" s="14" t="str">
        <x:v>technical_culinary</x:v>
      </x:c>
      <x:c r="O30" s="15" t="str">
        <x:v>dev_ready</x:v>
      </x:c>
      <x:c r="P30" s="14" t="str">
        <x:v>Özel ekmeğin pişirme yakıtı.</x:v>
      </x:c>
      <x:c r="Q30" s="25" t="e">
        <x:f>HYPERLINK(H30,"Open source")</x:f>
        <x:v>HYPERLINK is not implemented. linkLocation=https://ci.turkpatent.gov.tr/Files/GeographicalSigns/3612f8b8-12ff-4c4d-bc58-896f37cec09b.pdf, friendlyName=Open source</x:v>
      </x:c>
    </x:row>
    <x:row r="31">
      <x:c r="A31" s="14" t="str">
        <x:v>D028</x:v>
      </x:c>
      <x:c r="B31" s="14" t="str">
        <x:v>F109</x:v>
      </x:c>
      <x:c r="C31" s="14" t="str">
        <x:v>K3 — Preparation &amp; Cooking Techniques</x:v>
      </x:c>
      <x:c r="D31" s="14" t="str">
        <x:v>Local/Technical</x:v>
      </x:c>
      <x:c r="E31" s="14" t="str">
        <x:v>Tekirdağ Bulamasında köpük oluşturmak amacıyla kullanılan geleneksel bitkisel bileşen nedir?</x:v>
      </x:c>
      <x:c r="F31" s="14" t="str">
        <x:v>Çöven</x:v>
      </x:c>
      <x:c r="G31" s="14" t="str">
        <x:v>çöven | çöğen</x:v>
      </x:c>
      <x:c r="H31" s="14" t="str">
        <x:v>https://www.kulturportali.gov.tr/turkiye/tekirdag/neyenir/bulama</x:v>
      </x:c>
      <x:c r="I31" s="14" t="str">
        <x:v>Kültür ve Turizm Bakanlığı Kültür Portalı</x:v>
      </x:c>
      <x:c r="J31" s="14" t="str">
        <x:v>L0</x:v>
      </x:c>
      <x:c r="K31" s="14" t="str">
        <x:v>medium</x:v>
      </x:c>
      <x:c r="L31" s="14" t="str">
        <x:v>high</x:v>
      </x:c>
      <x:c r="M31" s="24" t="b">
        <x:v>0</x:v>
      </x:c>
      <x:c r="N31" s="14" t="str">
        <x:v>technical_culinary</x:v>
      </x:c>
      <x:c r="O31" s="15" t="str">
        <x:v>review_required</x:v>
      </x:c>
      <x:c r="P31" s="14" t="str">
        <x:v>REVIEW: Çöven/çöğen yazım varyantlarının eşdeğerliği doğrulanmalı.</x:v>
      </x:c>
      <x:c r="Q31" s="25" t="e">
        <x:f>HYPERLINK(H31,"Open source")</x:f>
        <x:v>HYPERLINK is not implemented. linkLocation=https://www.kulturportali.gov.tr/turkiye/tekirdag/neyenir/bulama, friendlyName=Open source</x:v>
      </x:c>
    </x:row>
    <x:row r="32">
      <x:c r="A32" s="14" t="str">
        <x:v>D029</x:v>
      </x:c>
      <x:c r="B32" s="14" t="str">
        <x:v>F027</x:v>
      </x:c>
      <x:c r="C32" s="14" t="str">
        <x:v>K5 — Culinary Terminology &amp; Traditional Practices</x:v>
      </x:c>
      <x:c r="D32" s="14" t="str">
        <x:v>General/Heritage</x:v>
      </x:c>
      <x:c r="E32" s="14" t="str">
        <x:v>Türk kahvesi içildikten sonra fincanda kalan telve geleneksel olarak hangi uygulamada kullanılır?</x:v>
      </x:c>
      <x:c r="F32" s="14" t="str">
        <x:v>Fal bakmak</x:v>
      </x:c>
      <x:c r="G32" s="14" t="str">
        <x:v>fal bakmak | kahve falı | kahve falı bakmak | falcılık</x:v>
      </x:c>
      <x:c r="H32" s="14" t="str">
        <x:v>https://ich.unesco.org/en/RL/turkish-coffee-culture-and-tradition-00645</x:v>
      </x:c>
      <x:c r="I32" s="14" t="str">
        <x:v>UNESCO ICH kaydı</x:v>
      </x:c>
      <x:c r="J32" s="14" t="str">
        <x:v>L0</x:v>
      </x:c>
      <x:c r="K32" s="14" t="str">
        <x:v>low</x:v>
      </x:c>
      <x:c r="L32" s="14" t="str">
        <x:v>high</x:v>
      </x:c>
      <x:c r="M32" s="24" t="b">
        <x:v>0</x:v>
      </x:c>
      <x:c r="N32" s="14" t="str">
        <x:v>cultural_heritage</x:v>
      </x:c>
      <x:c r="O32" s="15" t="str">
        <x:v>dev_ready</x:v>
      </x:c>
      <x:c r="P32" s="14" t="str">
        <x:v>UNESCO kaydındaki sosyal uygulama.</x:v>
      </x:c>
      <x:c r="Q32" s="25" t="e">
        <x:f>HYPERLINK(H32,"Open source")</x:f>
        <x:v>HYPERLINK is not implemented. linkLocation=https://ich.unesco.org/en/RL/turkish-coffee-culture-and-tradition-00645, friendlyName=Open source</x:v>
      </x:c>
    </x:row>
    <x:row r="33">
      <x:c r="A33" s="14" t="str">
        <x:v>D030</x:v>
      </x:c>
      <x:c r="B33" s="14" t="str">
        <x:v>F036</x:v>
      </x:c>
      <x:c r="C33" s="14" t="str">
        <x:v>K6 — Culinary History, Heritage &amp; Cultural Context</x:v>
      </x:c>
      <x:c r="D33" s="14" t="str">
        <x:v>General/Heritage</x:v>
      </x:c>
      <x:c r="E33" s="14" t="str">
        <x:v>Türkiye ile birlikte Çay Kültürü unsurunu UNESCO'ya ortak kaydettiren ülke hangisidir?</x:v>
      </x:c>
      <x:c r="F33" s="14" t="str">
        <x:v>Azerbaycan</x:v>
      </x:c>
      <x:c r="G33" s="14" t="str">
        <x:v>azerbaycan | azerbaijan</x:v>
      </x:c>
      <x:c r="H33" s="14" t="str">
        <x:v>https://ich.unesco.org/en/RL/culture-of-cay-tea-a-symbol-of-identity-hospitality-and-social-interaction-01685</x:v>
      </x:c>
      <x:c r="I33" s="14" t="str">
        <x:v>UNESCO ICH kaydı</x:v>
      </x:c>
      <x:c r="J33" s="14" t="str">
        <x:v>L0</x:v>
      </x:c>
      <x:c r="K33" s="14" t="str">
        <x:v>low</x:v>
      </x:c>
      <x:c r="L33" s="14" t="str">
        <x:v>high</x:v>
      </x:c>
      <x:c r="M33" s="24" t="b">
        <x:v>0</x:v>
      </x:c>
      <x:c r="N33" s="14" t="str">
        <x:v>cultural_heritage</x:v>
      </x:c>
      <x:c r="O33" s="15" t="str">
        <x:v>dev_ready</x:v>
      </x:c>
      <x:c r="P33" s="14" t="str">
        <x:v>Ortak UNESCO kaydındaki diğer ülke.</x:v>
      </x:c>
      <x:c r="Q33" s="25" t="e">
        <x:f>HYPERLINK(H33,"Open source")</x:f>
        <x:v>HYPERLINK is not implemented. linkLocation=https://ich.unesco.org/en/RL/culture-of-cay-tea-a-symbol-of-identity-hospitality-and-social-interaction-01685, friendlyName=Open source</x:v>
      </x:c>
    </x:row>
    <x:row r="34">
      <x:c r="A34" s="14" t="str">
        <x:v>D031</x:v>
      </x:c>
      <x:c r="B34" s="14" t="str">
        <x:v>F084</x:v>
      </x:c>
      <x:c r="C34" s="14" t="str">
        <x:v>K6 — Culinary History, Heritage &amp; Cultural Context</x:v>
      </x:c>
      <x:c r="D34" s="14" t="str">
        <x:v>General/Heritage</x:v>
      </x:c>
      <x:c r="E34" s="14" t="str">
        <x:v>Geleneksel yassı ekmek yapımı aile dışında hangi öğrenme ilişkisiyle aktarılır?</x:v>
      </x:c>
      <x:c r="F34" s="14" t="str">
        <x:v>Usta-çırak</x:v>
      </x:c>
      <x:c r="G34" s="14" t="str">
        <x:v>usta-çırak | usta çırak | ustadan çırağa | usta-çırak ilişkisi</x:v>
      </x:c>
      <x:c r="H34" s="14" t="str">
        <x:v>https://ich.unesco.org/en/RL/flatbread-making-and-sharing-culture-lavash-katyrma-jupka-yufka-01181</x:v>
      </x:c>
      <x:c r="I34" s="14" t="str">
        <x:v>UNESCO ICH kaydı</x:v>
      </x:c>
      <x:c r="J34" s="14" t="str">
        <x:v>L0</x:v>
      </x:c>
      <x:c r="K34" s="14" t="str">
        <x:v>low</x:v>
      </x:c>
      <x:c r="L34" s="14" t="str">
        <x:v>high</x:v>
      </x:c>
      <x:c r="M34" s="24" t="b">
        <x:v>0</x:v>
      </x:c>
      <x:c r="N34" s="14" t="str">
        <x:v>cultural_heritage</x:v>
      </x:c>
      <x:c r="O34" s="15" t="str">
        <x:v>dev_ready</x:v>
      </x:c>
      <x:c r="P34" s="14" t="str">
        <x:v>UNESCO aktarım biçimi.</x:v>
      </x:c>
      <x:c r="Q34" s="25" t="e">
        <x:f>HYPERLINK(H34,"Open source")</x:f>
        <x:v>HYPERLINK is not implemented. linkLocation=https://ich.unesco.org/en/RL/flatbread-making-and-sharing-culture-lavash-katyrma-jupka-yufka-01181, friendlyName=Open source</x:v>
      </x:c>
    </x:row>
    <x:row r="35">
      <x:c r="A35" s="14" t="str">
        <x:v>D032</x:v>
      </x:c>
      <x:c r="B35" s="14" t="str">
        <x:v>F085</x:v>
      </x:c>
      <x:c r="C35" s="14" t="str">
        <x:v>K6 — Culinary History, Heritage &amp; Cultural Context</x:v>
      </x:c>
      <x:c r="D35" s="14" t="str">
        <x:v>Local/Heritage</x:v>
      </x:c>
      <x:c r="E35" s="14" t="str">
        <x:v>Törensel Keşkek geleneğinde buğday, törenden önceki gün hangi uygulama eşliğinde yıkanır?</x:v>
      </x:c>
      <x:c r="F35" s="14" t="str">
        <x:v>Dua</x:v>
      </x:c>
      <x:c r="G35" s="14" t="str">
        <x:v>dua | dualar | dua ederek | dualarla</x:v>
      </x:c>
      <x:c r="H35" s="14" t="str">
        <x:v>https://ich.unesco.org/en/RL/ceremonial-keskek-tradition-00388</x:v>
      </x:c>
      <x:c r="I35" s="14" t="str">
        <x:v>UNESCO ICH kaydı</x:v>
      </x:c>
      <x:c r="J35" s="14" t="str">
        <x:v>L0</x:v>
      </x:c>
      <x:c r="K35" s="14" t="str">
        <x:v>low</x:v>
      </x:c>
      <x:c r="L35" s="14" t="str">
        <x:v>high</x:v>
      </x:c>
      <x:c r="M35" s="24" t="b">
        <x:v>0</x:v>
      </x:c>
      <x:c r="N35" s="14" t="str">
        <x:v>cultural_heritage</x:v>
      </x:c>
      <x:c r="O35" s="15" t="str">
        <x:v>dev_ready</x:v>
      </x:c>
      <x:c r="P35" s="14" t="str">
        <x:v>Törensel hazırlık uygulaması.</x:v>
      </x:c>
      <x:c r="Q35" s="25" t="e">
        <x:f>HYPERLINK(H35,"Open source")</x:f>
        <x:v>HYPERLINK is not implemented. linkLocation=https://ich.unesco.org/en/RL/ceremonial-keskek-tradition-00388, friendlyName=Open source</x:v>
      </x:c>
    </x:row>
    <x:row r="36">
      <x:c r="A36" s="14" t="str">
        <x:v>D033</x:v>
      </x:c>
      <x:c r="B36" s="14" t="str">
        <x:v>F096</x:v>
      </x:c>
      <x:c r="C36" s="14" t="str">
        <x:v>K6 — Culinary History, Heritage &amp; Cultural Context</x:v>
      </x:c>
      <x:c r="D36" s="14" t="str">
        <x:v>Local/Heritage</x:v>
      </x:c>
      <x:c r="E36" s="14" t="str">
        <x:v>Mesir Macunu Festivali tarihsel olarak kimin iyileşmesini anar?</x:v>
      </x:c>
      <x:c r="F36" s="14" t="str">
        <x:v>Hafsa Sultan</x:v>
      </x:c>
      <x:c r="G36" s="14" t="str">
        <x:v>hafsa sultan | ayşe hafsa sultan</x:v>
      </x:c>
      <x:c r="H36" s="14" t="str">
        <x:v>https://ich.unesco.org/en/RL/mesir-macunu-festival-00642</x:v>
      </x:c>
      <x:c r="I36" s="14" t="str">
        <x:v>UNESCO ICH kaydı</x:v>
      </x:c>
      <x:c r="J36" s="14" t="str">
        <x:v>L0</x:v>
      </x:c>
      <x:c r="K36" s="14" t="str">
        <x:v>low</x:v>
      </x:c>
      <x:c r="L36" s="14" t="str">
        <x:v>high</x:v>
      </x:c>
      <x:c r="M36" s="24" t="b">
        <x:v>0</x:v>
      </x:c>
      <x:c r="N36" s="14" t="str">
        <x:v>cultural_heritage</x:v>
      </x:c>
      <x:c r="O36" s="15" t="str">
        <x:v>dev_ready</x:v>
      </x:c>
      <x:c r="P36" s="14" t="str">
        <x:v>Festivalin tarihsel anlatısındaki kişi.</x:v>
      </x:c>
      <x:c r="Q36" s="25" t="e">
        <x:f>HYPERLINK(H36,"Open source")</x:f>
        <x:v>HYPERLINK is not implemented. linkLocation=https://ich.unesco.org/en/RL/mesir-macunu-festival-00642, friendlyName=Open source</x:v>
      </x:c>
    </x:row>
    <x:row r="37">
      <x:c r="A37" s="14" t="str">
        <x:v>D034</x:v>
      </x:c>
      <x:c r="B37" s="14" t="str">
        <x:v>F101</x:v>
      </x:c>
      <x:c r="C37" s="14" t="str">
        <x:v>K6 — Culinary History, Heritage &amp; Cultural Context</x:v>
      </x:c>
      <x:c r="D37" s="14" t="str">
        <x:v>General/Heritage</x:v>
      </x:c>
      <x:c r="E37" s="14" t="str">
        <x:v>Türkiye'de güllaç geleneksel olarak hangi ay veya dönemle özdeşleşir?</x:v>
      </x:c>
      <x:c r="F37" s="14" t="str">
        <x:v>Ramazan</x:v>
      </x:c>
      <x:c r="G37" s="14" t="str">
        <x:v>ramazan | ramazan ayı</x:v>
      </x:c>
      <x:c r="H37" s="14" t="str">
        <x:v>https://kulturportali.gov.tr/portal/geleneksel-lezzetler--7-ozel-gun-yemegi</x:v>
      </x:c>
      <x:c r="I37" s="14" t="str">
        <x:v>Kültür ve Turizm Bakanlığı Kültür Portalı</x:v>
      </x:c>
      <x:c r="J37" s="14" t="str">
        <x:v>L0</x:v>
      </x:c>
      <x:c r="K37" s="14" t="str">
        <x:v>low</x:v>
      </x:c>
      <x:c r="L37" s="14" t="str">
        <x:v>high</x:v>
      </x:c>
      <x:c r="M37" s="24" t="b">
        <x:v>0</x:v>
      </x:c>
      <x:c r="N37" s="14" t="str">
        <x:v>cultural_heritage</x:v>
      </x:c>
      <x:c r="O37" s="15" t="str">
        <x:v>dev_ready</x:v>
      </x:c>
      <x:c r="P37" s="14" t="str">
        <x:v>Kültür Portalındaki özel gün bağlamı.</x:v>
      </x:c>
      <x:c r="Q37" s="25" t="e">
        <x:f>HYPERLINK(H37,"Open source")</x:f>
        <x:v>HYPERLINK is not implemented. linkLocation=https://kulturportali.gov.tr/portal/geleneksel-lezzetler--7-ozel-gun-yemegi, friendlyName=Open source</x:v>
      </x:c>
    </x:row>
    <x:row r="38">
      <x:c r="A38" s="14" t="str">
        <x:v>D035</x:v>
      </x:c>
      <x:c r="B38" s="14" t="str">
        <x:v>F010</x:v>
      </x:c>
      <x:c r="C38" s="14" t="str">
        <x:v>K4 — Geographical Indications &amp; Product Specifications</x:v>
      </x:c>
      <x:c r="D38" s="14" t="str">
        <x:v>Technical</x:v>
      </x:c>
      <x:c r="E38" s="14" t="str">
        <x:v>Afyon Sucuğunda manda etinin asgari oranı yüzde kaçtır?</x:v>
      </x:c>
      <x:c r="F38" s="14" t="str">
        <x:v>En az %15</x:v>
      </x:c>
      <x:c r="G38" s="14" t="str">
        <x:v>15 | %15 | yüzde 15 | en az %15 | en az yüzde 15</x:v>
      </x:c>
      <x:c r="H38" s="14" t="str">
        <x:v>https://ci.turkpatent.gov.tr/Files/GeographicalSigns/8eb202f7-bf82-48cd-9f21-955bc921c665.pdf</x:v>
      </x:c>
      <x:c r="I38" s="14" t="str">
        <x:v>TÜRKPATENT tescil belgesi</x:v>
      </x:c>
      <x:c r="J38" s="14" t="str">
        <x:v>L1</x:v>
      </x:c>
      <x:c r="K38" s="14" t="str">
        <x:v>low</x:v>
      </x:c>
      <x:c r="L38" s="14" t="str">
        <x:v>high</x:v>
      </x:c>
      <x:c r="M38" s="24" t="b">
        <x:v>1</x:v>
      </x:c>
      <x:c r="N38" s="14" t="str">
        <x:v>numeric_answer</x:v>
      </x:c>
      <x:c r="O38" s="15" t="str">
        <x:v>dev_ready</x:v>
      </x:c>
      <x:c r="P38" s="14" t="str">
        <x:v>L1: yüzde biçimi verilir; değer sızmaz.</x:v>
      </x:c>
      <x:c r="Q38" s="25" t="e">
        <x:f>HYPERLINK(H38,"Open source")</x:f>
        <x:v>HYPERLINK is not implemented. linkLocation=https://ci.turkpatent.gov.tr/Files/GeographicalSigns/8eb202f7-bf82-48cd-9f21-955bc921c665.pdf, friendlyName=Open source</x:v>
      </x:c>
    </x:row>
    <x:row r="39">
      <x:c r="A39" s="14" t="str">
        <x:v>D036</x:v>
      </x:c>
      <x:c r="B39" s="14" t="str">
        <x:v>F088</x:v>
      </x:c>
      <x:c r="C39" s="14" t="str">
        <x:v>K3 — Preparation &amp; Cooking Techniques</x:v>
      </x:c>
      <x:c r="D39" s="14" t="str">
        <x:v>Local/Heritage</x:v>
      </x:c>
      <x:c r="E39" s="14" t="str">
        <x:v>Törensel Keşkek hazırlığında buğday taş havanda kaç kişi tarafından dövülür?</x:v>
      </x:c>
      <x:c r="F39" s="14" t="str">
        <x:v>2–4 kişi</x:v>
      </x:c>
      <x:c r="G39" s="14" t="str">
        <x:v>2-4 | 2–4 | 2 ila 4 | iki ila dört | iki-dört kişi</x:v>
      </x:c>
      <x:c r="H39" s="14" t="str">
        <x:v>https://ich.unesco.org/en/RL/ceremonial-keskek-tradition-00388</x:v>
      </x:c>
      <x:c r="I39" s="14" t="str">
        <x:v>UNESCO ICH kaydı</x:v>
      </x:c>
      <x:c r="J39" s="14" t="str">
        <x:v>L0</x:v>
      </x:c>
      <x:c r="K39" s="14" t="str">
        <x:v>medium</x:v>
      </x:c>
      <x:c r="L39" s="14" t="str">
        <x:v>high</x:v>
      </x:c>
      <x:c r="M39" s="24" t="b">
        <x:v>1</x:v>
      </x:c>
      <x:c r="N39" s="14" t="str">
        <x:v>numeric_answer</x:v>
      </x:c>
      <x:c r="O39" s="15" t="str">
        <x:v>review_required</x:v>
      </x:c>
      <x:c r="P39" s="14" t="str">
        <x:v>REVIEW: Parser sayısal aralığı tek değer değil aralık olarak değerlendirmeli.</x:v>
      </x:c>
      <x:c r="Q39" s="25" t="e">
        <x:f>HYPERLINK(H39,"Open source")</x:f>
        <x:v>HYPERLINK is not implemented. linkLocation=https://ich.unesco.org/en/RL/ceremonial-keskek-tradition-00388, friendlyName=Open source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4f612c545b146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8.130000114440918" hidden="0" customWidth="1"/>
    <x:col min="3" max="3" width="21.8799991607666" hidden="0" customWidth="1"/>
    <x:col min="4" max="4" width="8.130000114440918" hidden="0" customWidth="1"/>
    <x:col min="5" max="5" width="9.380000114440918" hidden="0" customWidth="1"/>
    <x:col min="6" max="6" width="13.75" hidden="0" customWidth="1"/>
    <x:col min="7" max="7" width="38.75" hidden="0" customWidth="1"/>
    <x:col min="8" max="8" width="65" hidden="0" customWidth="1"/>
  </x:cols>
  <x:sheetData>
    <x:row r="1" ht="28.5" customHeight="1">
      <x:c r="A1" s="3" t="str">
        <x:v>Fixed Pilot Requests — 72 Rows</x:v>
      </x:c>
      <x:c r="B1" s="3" t="str">
        <x:v>Fixed Pilot Requests — 72 Rows</x:v>
      </x:c>
      <x:c r="C1" s="3" t="str">
        <x:v>Fixed Pilot Requests — 72 Rows</x:v>
      </x:c>
      <x:c r="D1" s="3" t="str">
        <x:v>Fixed Pilot Requests — 72 Rows</x:v>
      </x:c>
      <x:c r="E1" s="3" t="str">
        <x:v>Fixed Pilot Requests — 72 Rows</x:v>
      </x:c>
      <x:c r="F1" s="3" t="str">
        <x:v>Fixed Pilot Requests — 72 Rows</x:v>
      </x:c>
      <x:c r="G1" s="3" t="str">
        <x:v>Fixed Pilot Requests — 72 Rows</x:v>
      </x:c>
      <x:c r="H1" s="3" t="str">
        <x:v>Fixed Pilot Requests — 72 Rows</x:v>
      </x:c>
    </x:row>
    <x:row r="3">
      <x:c r="A3" s="19" t="str">
        <x:v>run_id</x:v>
      </x:c>
      <x:c r="B3" s="19" t="str">
        <x:v>model_slot</x:v>
      </x:c>
      <x:c r="C3" s="19" t="str">
        <x:v>requested_model_id</x:v>
      </x:c>
      <x:c r="D3" s="19" t="str">
        <x:v>item_id</x:v>
      </x:c>
      <x:c r="E3" s="19" t="str">
        <x:v>source_fact_id</x:v>
      </x:c>
      <x:c r="F3" s="19" t="str">
        <x:v>prompt_version</x:v>
      </x:c>
      <x:c r="G3" s="19" t="str">
        <x:v>question_tr</x:v>
      </x:c>
      <x:c r="H3" s="19" t="str">
        <x:v>prompt</x:v>
      </x:c>
    </x:row>
    <x:row r="4" ht="55.5" customHeight="1">
      <x:c r="A4" s="14" t="str">
        <x:v>PILOT-M1-D001</x:v>
      </x:c>
      <x:c r="B4" s="14" t="str">
        <x:v>M1</x:v>
      </x:c>
      <x:c r="C4" s="14" t="str">
        <x:v>gpt-5.5-2026-04-23</x:v>
      </x:c>
      <x:c r="D4" s="14" t="str">
        <x:v>D001</x:v>
      </x:c>
      <x:c r="E4" s="14" t="str">
        <x:v>F014</x:v>
      </x:c>
      <x:c r="F4" s="14" t="str">
        <x:v>prompt_tr_v0.1</x:v>
      </x:c>
      <x:c r="G4" s="14" t="str">
        <x:v>Adana Kebabı için et geleneksel olarak hangi araçla kıyılır?</x:v>
      </x:c>
      <x:c r="H4" s="14" t="str">
        <x:v>Aşağıdaki soruyu mümkün olduğunca kısa yanıtlayın. Yalnızca cevabı yazın; açıklama, gerekçe veya ek bilgi vermeyin. Cevabı bilmiyorsanız yalnızca “Bilmiyorum” yazın.
Soru: Adana Kebabı için et geleneksel olarak hangi araçla kıyılır?
Cevap:</x:v>
      </x:c>
    </x:row>
    <x:row r="5" ht="55.5" customHeight="1">
      <x:c r="A5" s="14" t="str">
        <x:v>PILOT-M1-D002</x:v>
      </x:c>
      <x:c r="B5" s="14" t="str">
        <x:v>M1</x:v>
      </x:c>
      <x:c r="C5" s="14" t="str">
        <x:v>gpt-5.5-2026-04-23</x:v>
      </x:c>
      <x:c r="D5" s="14" t="str">
        <x:v>D002</x:v>
      </x:c>
      <x:c r="E5" s="14" t="str">
        <x:v>F017</x:v>
      </x:c>
      <x:c r="F5" s="14" t="str">
        <x:v>prompt_tr_v0.1</x:v>
      </x:c>
      <x:c r="G5" s="14" t="str">
        <x:v>Maraş Tarhanasının kurutulmak üzere serildiği geleneksel sergiye ne ad verilir?</x:v>
      </x:c>
      <x:c r="H5" s="14" t="str">
        <x:v>Aşağıdaki soruyu mümkün olduğunca kısa yanıtlayın. Yalnızca cevabı yazın; açıklama, gerekçe veya ek bilgi vermeyin. Cevabı bilmiyorsanız yalnızca “Bilmiyorum” yazın.
Soru: Maraş Tarhanasının kurutulmak üzere serildiği geleneksel sergiye ne ad verilir?
Cevap:</x:v>
      </x:c>
    </x:row>
    <x:row r="6" ht="55.5" customHeight="1">
      <x:c r="A6" s="14" t="str">
        <x:v>PILOT-M1-D003</x:v>
      </x:c>
      <x:c r="B6" s="14" t="str">
        <x:v>M1</x:v>
      </x:c>
      <x:c r="C6" s="14" t="str">
        <x:v>gpt-5.5-2026-04-23</x:v>
      </x:c>
      <x:c r="D6" s="14" t="str">
        <x:v>D003</x:v>
      </x:c>
      <x:c r="E6" s="14" t="str">
        <x:v>F019</x:v>
      </x:c>
      <x:c r="F6" s="14" t="str">
        <x:v>prompt_tr_v0.1</x:v>
      </x:c>
      <x:c r="G6" s="14" t="str">
        <x:v>UNESCO tanımına göre Türk kahvesi hazırlanırken öğütülmüş kahveye başlangıçta hangi sıcaklıktaki su eklenir?</x:v>
      </x:c>
      <x:c r="H6" s="14" t="str">
        <x:v>Aşağıdaki soruyu mümkün olduğunca kısa yanıtlayın. Yalnızca cevabı yazın; açıklama, gerekçe veya ek bilgi vermeyin. Cevabı bilmiyorsanız yalnızca “Bilmiyorum” yazın.
Soru: UNESCO tanımına göre Türk kahvesi hazırlanırken öğütülmüş kahveye başlangıçta hangi sıcaklıktaki su eklenir?
Cevap:</x:v>
      </x:c>
    </x:row>
    <x:row r="7" ht="55.5" customHeight="1">
      <x:c r="A7" s="14" t="str">
        <x:v>PILOT-M1-D004</x:v>
      </x:c>
      <x:c r="B7" s="14" t="str">
        <x:v>M1</x:v>
      </x:c>
      <x:c r="C7" s="14" t="str">
        <x:v>gpt-5.5-2026-04-23</x:v>
      </x:c>
      <x:c r="D7" s="14" t="str">
        <x:v>D004</x:v>
      </x:c>
      <x:c r="E7" s="14" t="str">
        <x:v>F028</x:v>
      </x:c>
      <x:c r="F7" s="14" t="str">
        <x:v>prompt_tr_v0.1</x:v>
      </x:c>
      <x:c r="G7" s="14" t="str">
        <x:v>UNESCO'ya göre Türk kahvesine geleneksel olarak hangi içecek eşlik eder?</x:v>
      </x:c>
      <x:c r="H7" s="14" t="str">
        <x:v>Aşağıdaki soruyu mümkün olduğunca kısa yanıtlayın. Yalnızca cevabı yazın; açıklama, gerekçe veya ek bilgi vermeyin. Cevabı bilmiyorsanız yalnızca “Bilmiyorum” yazın.
Soru: UNESCO'ya göre Türk kahvesine geleneksel olarak hangi içecek eşlik eder?
Cevap:</x:v>
      </x:c>
    </x:row>
    <x:row r="8" ht="55.5" customHeight="1">
      <x:c r="A8" s="14" t="str">
        <x:v>PILOT-M1-D005</x:v>
      </x:c>
      <x:c r="B8" s="14" t="str">
        <x:v>M1</x:v>
      </x:c>
      <x:c r="C8" s="14" t="str">
        <x:v>gpt-5.5-2026-04-23</x:v>
      </x:c>
      <x:c r="D8" s="14" t="str">
        <x:v>D005</x:v>
      </x:c>
      <x:c r="E8" s="14" t="str">
        <x:v>F056</x:v>
      </x:c>
      <x:c r="F8" s="14" t="str">
        <x:v>prompt_tr_v0.1</x:v>
      </x:c>
      <x:c r="G8" s="14" t="str">
        <x:v>Antalya Piyazını diğer piyazlardan ayıran karakteristik sos nedir?</x:v>
      </x:c>
      <x:c r="H8" s="14" t="str">
        <x:v>Aşağıdaki soruyu mümkün olduğunca kısa yanıtlayın. Yalnızca cevabı yazın; açıklama, gerekçe veya ek bilgi vermeyin. Cevabı bilmiyorsanız yalnızca “Bilmiyorum” yazın.
Soru: Antalya Piyazını diğer piyazlardan ayıran karakteristik sos nedir?
Cevap:</x:v>
      </x:c>
    </x:row>
    <x:row r="9" ht="55.5" customHeight="1">
      <x:c r="A9" s="14" t="str">
        <x:v>PILOT-M1-D006</x:v>
      </x:c>
      <x:c r="B9" s="14" t="str">
        <x:v>M1</x:v>
      </x:c>
      <x:c r="C9" s="14" t="str">
        <x:v>gpt-5.5-2026-04-23</x:v>
      </x:c>
      <x:c r="D9" s="14" t="str">
        <x:v>D006</x:v>
      </x:c>
      <x:c r="E9" s="14" t="str">
        <x:v>F060</x:v>
      </x:c>
      <x:c r="F9" s="14" t="str">
        <x:v>prompt_tr_v0.1</x:v>
      </x:c>
      <x:c r="G9" s="14" t="str">
        <x:v>Tarsus Humusunda pişmiş nohut geleneksel olarak hangi araçla ezilir?</x:v>
      </x:c>
      <x:c r="H9" s="14" t="str">
        <x:v>Aşağıdaki soruyu mümkün olduğunca kısa yanıtlayın. Yalnızca cevabı yazın; açıklama, gerekçe veya ek bilgi vermeyin. Cevabı bilmiyorsanız yalnızca “Bilmiyorum” yazın.
Soru: Tarsus Humusunda pişmiş nohut geleneksel olarak hangi araçla ezilir?
Cevap:</x:v>
      </x:c>
    </x:row>
    <x:row r="10" ht="55.5" customHeight="1">
      <x:c r="A10" s="14" t="str">
        <x:v>PILOT-M1-D007</x:v>
      </x:c>
      <x:c r="B10" s="14" t="str">
        <x:v>M1</x:v>
      </x:c>
      <x:c r="C10" s="14" t="str">
        <x:v>gpt-5.5-2026-04-23</x:v>
      </x:c>
      <x:c r="D10" s="14" t="str">
        <x:v>D007</x:v>
      </x:c>
      <x:c r="E10" s="14" t="str">
        <x:v>F065</x:v>
      </x:c>
      <x:c r="F10" s="14" t="str">
        <x:v>prompt_tr_v0.1</x:v>
      </x:c>
      <x:c r="G10" s="14" t="str">
        <x:v>Erzincan Kesme Kadayıfında yufka katlarının arasına hangi kuruyemiş konur?</x:v>
      </x:c>
      <x:c r="H10" s="14" t="str">
        <x:v>Aşağıdaki soruyu mümkün olduğunca kısa yanıtlayın. Yalnızca cevabı yazın; açıklama, gerekçe veya ek bilgi vermeyin. Cevabı bilmiyorsanız yalnızca “Bilmiyorum” yazın.
Soru: Erzincan Kesme Kadayıfında yufka katlarının arasına hangi kuruyemiş konur?
Cevap:</x:v>
      </x:c>
    </x:row>
    <x:row r="11" ht="55.5" customHeight="1">
      <x:c r="A11" s="14" t="str">
        <x:v>PILOT-M1-D008</x:v>
      </x:c>
      <x:c r="B11" s="14" t="str">
        <x:v>M1</x:v>
      </x:c>
      <x:c r="C11" s="14" t="str">
        <x:v>gpt-5.5-2026-04-23</x:v>
      </x:c>
      <x:c r="D11" s="14" t="str">
        <x:v>D008</x:v>
      </x:c>
      <x:c r="E11" s="14" t="str">
        <x:v>F068</x:v>
      </x:c>
      <x:c r="F11" s="14" t="str">
        <x:v>prompt_tr_v0.1</x:v>
      </x:c>
      <x:c r="G11" s="14" t="str">
        <x:v>Diyarbakır Kaburga Dolmasının pirinçli iç harcında hangi kuruyemiş kullanılır?</x:v>
      </x:c>
      <x:c r="H11" s="14" t="str">
        <x:v>Aşağıdaki soruyu mümkün olduğunca kısa yanıtlayın. Yalnızca cevabı yazın; açıklama, gerekçe veya ek bilgi vermeyin. Cevabı bilmiyorsanız yalnızca “Bilmiyorum” yazın.
Soru: Diyarbakır Kaburga Dolmasının pirinçli iç harcında hangi kuruyemiş kullanılır?
Cevap:</x:v>
      </x:c>
    </x:row>
    <x:row r="12" ht="55.5" customHeight="1">
      <x:c r="A12" s="14" t="str">
        <x:v>PILOT-M1-D009</x:v>
      </x:c>
      <x:c r="B12" s="14" t="str">
        <x:v>M1</x:v>
      </x:c>
      <x:c r="C12" s="14" t="str">
        <x:v>gpt-5.5-2026-04-23</x:v>
      </x:c>
      <x:c r="D12" s="14" t="str">
        <x:v>D009</x:v>
      </x:c>
      <x:c r="E12" s="14" t="str">
        <x:v>F009</x:v>
      </x:c>
      <x:c r="F12" s="14" t="str">
        <x:v>prompt_tr_v0.1</x:v>
      </x:c>
      <x:c r="G12" s="14" t="str">
        <x:v>Maraş Tarhanasının iki temel bileşeni nedir?</x:v>
      </x:c>
      <x:c r="H12" s="14" t="str">
        <x:v>Aşağıdaki soruyu mümkün olduğunca kısa yanıtlayın. Yalnızca cevabı yazın; açıklama, gerekçe veya ek bilgi vermeyin. Cevabı bilmiyorsanız yalnızca “Bilmiyorum” yazın.
Soru: Maraş Tarhanasının iki temel bileşeni nedir?
Cevap:</x:v>
      </x:c>
    </x:row>
    <x:row r="13" ht="55.5" customHeight="1">
      <x:c r="A13" s="14" t="str">
        <x:v>PILOT-M1-D010</x:v>
      </x:c>
      <x:c r="B13" s="14" t="str">
        <x:v>M1</x:v>
      </x:c>
      <x:c r="C13" s="14" t="str">
        <x:v>gpt-5.5-2026-04-23</x:v>
      </x:c>
      <x:c r="D13" s="14" t="str">
        <x:v>D010</x:v>
      </x:c>
      <x:c r="E13" s="14" t="str">
        <x:v>F031</x:v>
      </x:c>
      <x:c r="F13" s="14" t="str">
        <x:v>prompt_tr_v0.1</x:v>
      </x:c>
      <x:c r="G13" s="14" t="str">
        <x:v>UNESCO tanımına göre çay geleneksel olarak hangi biçimdeki bardaklarda servis edilir?</x:v>
      </x:c>
      <x:c r="H13" s="14" t="str">
        <x:v>Aşağıdaki soruyu mümkün olduğunca kısa yanıtlayın. Yalnızca cevabı yazın; açıklama, gerekçe veya ek bilgi vermeyin. Cevabı bilmiyorsanız yalnızca “Bilmiyorum” yazın.
Soru: UNESCO tanımına göre çay geleneksel olarak hangi biçimdeki bardaklarda servis edilir?
Cevap:</x:v>
      </x:c>
    </x:row>
    <x:row r="14" ht="55.5" customHeight="1">
      <x:c r="A14" s="14" t="str">
        <x:v>PILOT-M1-D011</x:v>
      </x:c>
      <x:c r="B14" s="14" t="str">
        <x:v>M1</x:v>
      </x:c>
      <x:c r="C14" s="14" t="str">
        <x:v>gpt-5.5-2026-04-23</x:v>
      </x:c>
      <x:c r="D14" s="14" t="str">
        <x:v>D011</x:v>
      </x:c>
      <x:c r="E14" s="14" t="str">
        <x:v>F083</x:v>
      </x:c>
      <x:c r="F14" s="14" t="str">
        <x:v>prompt_tr_v0.1</x:v>
      </x:c>
      <x:c r="G14" s="14" t="str">
        <x:v>UNESCO kaydına göre Türkiye'de düğünlerde yassı ekmek kimlere verilir?</x:v>
      </x:c>
      <x:c r="H14" s="14" t="str">
        <x:v>Aşağıdaki soruyu mümkün olduğunca kısa yanıtlayın. Yalnızca cevabı yazın; açıklama, gerekçe veya ek bilgi vermeyin. Cevabı bilmiyorsanız yalnızca “Bilmiyorum” yazın.
Soru: UNESCO kaydına göre Türkiye'de düğünlerde yassı ekmek kimlere verilir?
Cevap:</x:v>
      </x:c>
    </x:row>
    <x:row r="15" ht="55.5" customHeight="1">
      <x:c r="A15" s="14" t="str">
        <x:v>PILOT-M1-D012</x:v>
      </x:c>
      <x:c r="B15" s="14" t="str">
        <x:v>M1</x:v>
      </x:c>
      <x:c r="C15" s="14" t="str">
        <x:v>gpt-5.5-2026-04-23</x:v>
      </x:c>
      <x:c r="D15" s="14" t="str">
        <x:v>D012</x:v>
      </x:c>
      <x:c r="E15" s="14" t="str">
        <x:v>F087</x:v>
      </x:c>
      <x:c r="F15" s="14" t="str">
        <x:v>prompt_tr_v0.1</x:v>
      </x:c>
      <x:c r="G15" s="14" t="str">
        <x:v>Törensel Keşkek geleneğinde buğday taşınırken hangi iki çalgı çalınır?</x:v>
      </x:c>
      <x:c r="H15" s="14" t="str">
        <x:v>Aşağıdaki soruyu mümkün olduğunca kısa yanıtlayın. Yalnızca cevabı yazın; açıklama, gerekçe veya ek bilgi vermeyin. Cevabı bilmiyorsanız yalnızca “Bilmiyorum” yazın.
Soru: Törensel Keşkek geleneğinde buğday taşınırken hangi iki çalgı çalınır?
Cevap:</x:v>
      </x:c>
    </x:row>
    <x:row r="16" ht="55.5" customHeight="1">
      <x:c r="A16" s="14" t="str">
        <x:v>PILOT-M1-D013</x:v>
      </x:c>
      <x:c r="B16" s="14" t="str">
        <x:v>M1</x:v>
      </x:c>
      <x:c r="C16" s="14" t="str">
        <x:v>gpt-5.5-2026-04-23</x:v>
      </x:c>
      <x:c r="D16" s="14" t="str">
        <x:v>D013</x:v>
      </x:c>
      <x:c r="E16" s="14" t="str">
        <x:v>F100</x:v>
      </x:c>
      <x:c r="F16" s="14" t="str">
        <x:v>prompt_tr_v0.1</x:v>
      </x:c>
      <x:c r="G16" s="14" t="str">
        <x:v>Kültür Portalına göre aşurenin temsil ettiği iki temel kavram nedir?</x:v>
      </x:c>
      <x:c r="H16" s="14" t="str">
        <x:v>Aşağıdaki soruyu mümkün olduğunca kısa yanıtlayın. Yalnızca cevabı yazın; açıklama, gerekçe veya ek bilgi vermeyin. Cevabı bilmiyorsanız yalnızca “Bilmiyorum” yazın.
Soru: Kültür Portalına göre aşurenin temsil ettiği iki temel kavram nedir?
Cevap:</x:v>
      </x:c>
    </x:row>
    <x:row r="17" ht="55.5" customHeight="1">
      <x:c r="A17" s="14" t="str">
        <x:v>PILOT-M1-D014</x:v>
      </x:c>
      <x:c r="B17" s="14" t="str">
        <x:v>M1</x:v>
      </x:c>
      <x:c r="C17" s="14" t="str">
        <x:v>gpt-5.5-2026-04-23</x:v>
      </x:c>
      <x:c r="D17" s="14" t="str">
        <x:v>D014</x:v>
      </x:c>
      <x:c r="E17" s="14" t="str">
        <x:v>F112</x:v>
      </x:c>
      <x:c r="F17" s="14" t="str">
        <x:v>prompt_tr_v0.1</x:v>
      </x:c>
      <x:c r="G17" s="14" t="str">
        <x:v>Tekirdağ'daki Herise geleneğinde düğün için hazırlanan yemekten özellikle hangi iki gruba gönderilir?</x:v>
      </x:c>
      <x:c r="H17" s="14" t="str">
        <x:v>Aşağıdaki soruyu mümkün olduğunca kısa yanıtlayın. Yalnızca cevabı yazın; açıklama, gerekçe veya ek bilgi vermeyin. Cevabı bilmiyorsanız yalnızca “Bilmiyorum” yazın.
Soru: Tekirdağ'daki Herise geleneğinde düğün için hazırlanan yemekten özellikle hangi iki gruba gönderilir?
Cevap:</x:v>
      </x:c>
    </x:row>
    <x:row r="18" ht="55.5" customHeight="1">
      <x:c r="A18" s="14" t="str">
        <x:v>PILOT-M1-D015</x:v>
      </x:c>
      <x:c r="B18" s="14" t="str">
        <x:v>M1</x:v>
      </x:c>
      <x:c r="C18" s="14" t="str">
        <x:v>gpt-5.5-2026-04-23</x:v>
      </x:c>
      <x:c r="D18" s="14" t="str">
        <x:v>D015</x:v>
      </x:c>
      <x:c r="E18" s="14" t="str">
        <x:v>F059</x:v>
      </x:c>
      <x:c r="F18" s="14" t="str">
        <x:v>prompt_tr_v0.1</x:v>
      </x:c>
      <x:c r="G18" s="14" t="str">
        <x:v>Tarsus Humusunda nohutların ezildiği geleneksel bakır kabın adı nedir?</x:v>
      </x:c>
      <x:c r="H18" s="14" t="str">
        <x:v>Aşağıdaki soruyu mümkün olduğunca kısa yanıtlayın. Yalnızca cevabı yazın; açıklama, gerekçe veya ek bilgi vermeyin. Cevabı bilmiyorsanız yalnızca “Bilmiyorum” yazın.
Soru: Tarsus Humusunda nohutların ezildiği geleneksel bakır kabın adı nedir?
Cevap:</x:v>
      </x:c>
    </x:row>
    <x:row r="19" ht="55.5" customHeight="1">
      <x:c r="A19" s="14" t="str">
        <x:v>PILOT-M1-D016</x:v>
      </x:c>
      <x:c r="B19" s="14" t="str">
        <x:v>M1</x:v>
      </x:c>
      <x:c r="C19" s="14" t="str">
        <x:v>gpt-5.5-2026-04-23</x:v>
      </x:c>
      <x:c r="D19" s="14" t="str">
        <x:v>D016</x:v>
      </x:c>
      <x:c r="E19" s="14" t="str">
        <x:v>F102</x:v>
      </x:c>
      <x:c r="F19" s="14" t="str">
        <x:v>prompt_tr_v0.1</x:v>
      </x:c>
      <x:c r="G19" s="14" t="str">
        <x:v>İzmir kültüründe lokmanın özel günlerde hazırlanarak halka ücretsiz dağıtılması geleneğine ne ad verilir?</x:v>
      </x:c>
      <x:c r="H19" s="14" t="str">
        <x:v>Aşağıdaki soruyu mümkün olduğunca kısa yanıtlayın. Yalnızca cevabı yazın; açıklama, gerekçe veya ek bilgi vermeyin. Cevabı bilmiyorsanız yalnızca “Bilmiyorum” yazın.
Soru: İzmir kültüründe lokmanın özel günlerde hazırlanarak halka ücretsiz dağıtılması geleneğine ne ad verilir?
Cevap:</x:v>
      </x:c>
    </x:row>
    <x:row r="20" ht="55.5" customHeight="1">
      <x:c r="A20" s="14" t="str">
        <x:v>PILOT-M1-D017</x:v>
      </x:c>
      <x:c r="B20" s="14" t="str">
        <x:v>M1</x:v>
      </x:c>
      <x:c r="C20" s="14" t="str">
        <x:v>gpt-5.5-2026-04-23</x:v>
      </x:c>
      <x:c r="D20" s="14" t="str">
        <x:v>D017</x:v>
      </x:c>
      <x:c r="E20" s="14" t="str">
        <x:v>F104</x:v>
      </x:c>
      <x:c r="F20" s="14" t="str">
        <x:v>prompt_tr_v0.1</x:v>
      </x:c>
      <x:c r="G20" s="14" t="str">
        <x:v>İzmir'in bazı yörelerinde Sura'nın üzerine sarılan yağlı zar tabakasına verilen geleneksel adlardan biri nedir?</x:v>
      </x:c>
      <x:c r="H20" s="14" t="str">
        <x:v>Aşağıdaki soruyu mümkün olduğunca kısa yanıtlayın. Yalnızca cevabı yazın; açıklama, gerekçe veya ek bilgi vermeyin. Cevabı bilmiyorsanız yalnızca “Bilmiyorum” yazın.
Soru: İzmir'in bazı yörelerinde Sura'nın üzerine sarılan yağlı zar tabakasına verilen geleneksel adlardan biri nedir?
Cevap:</x:v>
      </x:c>
    </x:row>
    <x:row r="21" ht="55.5" customHeight="1">
      <x:c r="A21" s="14" t="str">
        <x:v>PILOT-M1-D018</x:v>
      </x:c>
      <x:c r="B21" s="14" t="str">
        <x:v>M1</x:v>
      </x:c>
      <x:c r="C21" s="14" t="str">
        <x:v>gpt-5.5-2026-04-23</x:v>
      </x:c>
      <x:c r="D21" s="14" t="str">
        <x:v>D018</x:v>
      </x:c>
      <x:c r="E21" s="14" t="str">
        <x:v>F106</x:v>
      </x:c>
      <x:c r="F21" s="14" t="str">
        <x:v>prompt_tr_v0.1</x:v>
      </x:c>
      <x:c r="G21" s="14" t="str">
        <x:v>İzmir mutfağındaki cibez, Tire civarında hangi adla da bilinir?</x:v>
      </x:c>
      <x:c r="H21" s="14" t="str">
        <x:v>Aşağıdaki soruyu mümkün olduğunca kısa yanıtlayın. Yalnızca cevabı yazın; açıklama, gerekçe veya ek bilgi vermeyin. Cevabı bilmiyorsanız yalnızca “Bilmiyorum” yazın.
Soru: İzmir mutfağındaki cibez, Tire civarında hangi adla da bilinir?
Cevap:</x:v>
      </x:c>
    </x:row>
    <x:row r="22" ht="55.5" customHeight="1">
      <x:c r="A22" s="14" t="str">
        <x:v>PILOT-M1-D019</x:v>
      </x:c>
      <x:c r="B22" s="14" t="str">
        <x:v>M1</x:v>
      </x:c>
      <x:c r="C22" s="14" t="str">
        <x:v>gpt-5.5-2026-04-23</x:v>
      </x:c>
      <x:c r="D22" s="14" t="str">
        <x:v>D019</x:v>
      </x:c>
      <x:c r="E22" s="14" t="str">
        <x:v>F113</x:v>
      </x:c>
      <x:c r="F22" s="14" t="str">
        <x:v>prompt_tr_v0.1</x:v>
      </x:c>
      <x:c r="G22" s="14" t="str">
        <x:v>Edirne mutfağındaki Kaçamak başka hangi adla bilinir?</x:v>
      </x:c>
      <x:c r="H22" s="14" t="str">
        <x:v>Aşağıdaki soruyu mümkün olduğunca kısa yanıtlayın. Yalnızca cevabı yazın; açıklama, gerekçe veya ek bilgi vermeyin. Cevabı bilmiyorsanız yalnızca “Bilmiyorum” yazın.
Soru: Edirne mutfağındaki Kaçamak başka hangi adla bilinir?
Cevap:</x:v>
      </x:c>
    </x:row>
    <x:row r="23" ht="55.5" customHeight="1">
      <x:c r="A23" s="14" t="str">
        <x:v>PILOT-M1-D020</x:v>
      </x:c>
      <x:c r="B23" s="14" t="str">
        <x:v>M1</x:v>
      </x:c>
      <x:c r="C23" s="14" t="str">
        <x:v>gpt-5.5-2026-04-23</x:v>
      </x:c>
      <x:c r="D23" s="14" t="str">
        <x:v>D020</x:v>
      </x:c>
      <x:c r="E23" s="14" t="str">
        <x:v>F116</x:v>
      </x:c>
      <x:c r="F23" s="14" t="str">
        <x:v>prompt_tr_v0.1</x:v>
      </x:c>
      <x:c r="G23" s="14" t="str">
        <x:v>Afyonkarahisar'da doğumdan sonra misafirlere ikram edilen sıra yemeklerine ne ad verilir?</x:v>
      </x:c>
      <x:c r="H23" s="14" t="str">
        <x:v>Aşağıdaki soruyu mümkün olduğunca kısa yanıtlayın. Yalnızca cevabı yazın; açıklama, gerekçe veya ek bilgi vermeyin. Cevabı bilmiyorsanız yalnızca “Bilmiyorum” yazın.
Soru: Afyonkarahisar'da doğumdan sonra misafirlere ikram edilen sıra yemeklerine ne ad verilir?
Cevap:</x:v>
      </x:c>
    </x:row>
    <x:row r="24" ht="55.5" customHeight="1">
      <x:c r="A24" s="14" t="str">
        <x:v>PILOT-M1-D021</x:v>
      </x:c>
      <x:c r="B24" s="14" t="str">
        <x:v>M1</x:v>
      </x:c>
      <x:c r="C24" s="14" t="str">
        <x:v>gpt-5.5-2026-04-23</x:v>
      </x:c>
      <x:c r="D24" s="14" t="str">
        <x:v>D021</x:v>
      </x:c>
      <x:c r="E24" s="14" t="str">
        <x:v>F117</x:v>
      </x:c>
      <x:c r="F24" s="14" t="str">
        <x:v>prompt_tr_v0.1</x:v>
      </x:c>
      <x:c r="G24" s="14" t="str">
        <x:v>Afyonkarahisar'da nişan gecesinin ertesi günü yapılan geleneksel yemekli davetin adı nedir?</x:v>
      </x:c>
      <x:c r="H24" s="14" t="str">
        <x:v>Aşağıdaki soruyu mümkün olduğunca kısa yanıtlayın. Yalnızca cevabı yazın; açıklama, gerekçe veya ek bilgi vermeyin. Cevabı bilmiyorsanız yalnızca “Bilmiyorum” yazın.
Soru: Afyonkarahisar'da nişan gecesinin ertesi günü yapılan geleneksel yemekli davetin adı nedir?
Cevap:</x:v>
      </x:c>
    </x:row>
    <x:row r="25" ht="55.5" customHeight="1">
      <x:c r="A25" s="14" t="str">
        <x:v>PILOT-M1-D022</x:v>
      </x:c>
      <x:c r="B25" s="14" t="str">
        <x:v>M1</x:v>
      </x:c>
      <x:c r="C25" s="14" t="str">
        <x:v>gpt-5.5-2026-04-23</x:v>
      </x:c>
      <x:c r="D25" s="14" t="str">
        <x:v>D022</x:v>
      </x:c>
      <x:c r="E25" s="14" t="str">
        <x:v>F118</x:v>
      </x:c>
      <x:c r="F25" s="14" t="str">
        <x:v>prompt_tr_v0.1</x:v>
      </x:c>
      <x:c r="G25" s="14" t="str">
        <x:v>Afyonkarahisar sıra yemeklerinde yemeklerin sofraya geliş sırasını düzenleme işine ne ad verilir?</x:v>
      </x:c>
      <x:c r="H25" s="14" t="str">
        <x:v>Aşağıdaki soruyu mümkün olduğunca kısa yanıtlayın. Yalnızca cevabı yazın; açıklama, gerekçe veya ek bilgi vermeyin. Cevabı bilmiyorsanız yalnızca “Bilmiyorum” yazın.
Soru: Afyonkarahisar sıra yemeklerinde yemeklerin sofraya geliş sırasını düzenleme işine ne ad verilir?
Cevap:</x:v>
      </x:c>
    </x:row>
    <x:row r="26" ht="55.5" customHeight="1">
      <x:c r="A26" s="14" t="str">
        <x:v>PILOT-M1-D023</x:v>
      </x:c>
      <x:c r="B26" s="14" t="str">
        <x:v>M1</x:v>
      </x:c>
      <x:c r="C26" s="14" t="str">
        <x:v>gpt-5.5-2026-04-23</x:v>
      </x:c>
      <x:c r="D26" s="14" t="str">
        <x:v>D023</x:v>
      </x:c>
      <x:c r="E26" s="14" t="str">
        <x:v>F008</x:v>
      </x:c>
      <x:c r="F26" s="14" t="str">
        <x:v>prompt_tr_v0.1</x:v>
      </x:c>
      <x:c r="G26" s="14" t="str">
        <x:v>Kuru Antep Baklavasında raf ömrünü uzatmak amacıyla kullanılmayan bileşen nedir?</x:v>
      </x:c>
      <x:c r="H26" s="14" t="str">
        <x:v>Aşağıdaki soruyu mümkün olduğunca kısa yanıtlayın. Yalnızca cevabı yazın; açıklama, gerekçe veya ek bilgi vermeyin. Cevabı bilmiyorsanız yalnızca “Bilmiyorum” yazın.
Soru: Kuru Antep Baklavasında raf ömrünü uzatmak amacıyla kullanılmayan bileşen nedir?
Cevap:</x:v>
      </x:c>
    </x:row>
    <x:row r="27" ht="55.5" customHeight="1">
      <x:c r="A27" s="14" t="str">
        <x:v>PILOT-M1-D024</x:v>
      </x:c>
      <x:c r="B27" s="14" t="str">
        <x:v>M1</x:v>
      </x:c>
      <x:c r="C27" s="14" t="str">
        <x:v>gpt-5.5-2026-04-23</x:v>
      </x:c>
      <x:c r="D27" s="14" t="str">
        <x:v>D024</x:v>
      </x:c>
      <x:c r="E27" s="14" t="str">
        <x:v>F016</x:v>
      </x:c>
      <x:c r="F27" s="14" t="str">
        <x:v>prompt_tr_v0.1</x:v>
      </x:c>
      <x:c r="G27" s="14" t="str">
        <x:v>Maraş Tarhanası üretiminde yoğurt, dövmeye hangi aşamada eklenir?</x:v>
      </x:c>
      <x:c r="H27" s="14" t="str">
        <x:v>Aşağıdaki soruyu mümkün olduğunca kısa yanıtlayın. Yalnızca cevabı yazın; açıklama, gerekçe veya ek bilgi vermeyin. Cevabı bilmiyorsanız yalnızca “Bilmiyorum” yazın.
Soru: Maraş Tarhanası üretiminde yoğurt, dövmeye hangi aşamada eklenir?
Cevap:</x:v>
      </x:c>
    </x:row>
    <x:row r="28" ht="55.5" customHeight="1">
      <x:c r="A28" s="14" t="str">
        <x:v>PILOT-M1-D025</x:v>
      </x:c>
      <x:c r="B28" s="14" t="str">
        <x:v>M1</x:v>
      </x:c>
      <x:c r="C28" s="14" t="str">
        <x:v>gpt-5.5-2026-04-23</x:v>
      </x:c>
      <x:c r="D28" s="14" t="str">
        <x:v>D025</x:v>
      </x:c>
      <x:c r="E28" s="14" t="str">
        <x:v>F018</x:v>
      </x:c>
      <x:c r="F28" s="14" t="str">
        <x:v>prompt_tr_v0.1</x:v>
      </x:c>
      <x:c r="G28" s="14" t="str">
        <x:v>Afyon Sucuğu hamuru hangi tür bağırsağa doldurulur?</x:v>
      </x:c>
      <x:c r="H28" s="14" t="str">
        <x:v>Aşağıdaki soruyu mümkün olduğunca kısa yanıtlayın. Yalnızca cevabı yazın; açıklama, gerekçe veya ek bilgi vermeyin. Cevabı bilmiyorsanız yalnızca “Bilmiyorum” yazın.
Soru: Afyon Sucuğu hamuru hangi tür bağırsağa doldurulur?
Cevap:</x:v>
      </x:c>
    </x:row>
    <x:row r="29" ht="55.5" customHeight="1">
      <x:c r="A29" s="14" t="str">
        <x:v>PILOT-M1-D026</x:v>
      </x:c>
      <x:c r="B29" s="14" t="str">
        <x:v>M1</x:v>
      </x:c>
      <x:c r="C29" s="14" t="str">
        <x:v>gpt-5.5-2026-04-23</x:v>
      </x:c>
      <x:c r="D29" s="14" t="str">
        <x:v>D026</x:v>
      </x:c>
      <x:c r="E29" s="14" t="str">
        <x:v>F052</x:v>
      </x:c>
      <x:c r="F29" s="14" t="str">
        <x:v>prompt_tr_v0.1</x:v>
      </x:c>
      <x:c r="G29" s="14" t="str">
        <x:v>Malatya Kâğıt Kebabının taş fırını geleneksel olarak hangi odunla ısıtılır?</x:v>
      </x:c>
      <x:c r="H29" s="14" t="str">
        <x:v>Aşağıdaki soruyu mümkün olduğunca kısa yanıtlayın. Yalnızca cevabı yazın; açıklama, gerekçe veya ek bilgi vermeyin. Cevabı bilmiyorsanız yalnızca “Bilmiyorum” yazın.
Soru: Malatya Kâğıt Kebabının taş fırını geleneksel olarak hangi odunla ısıtılır?
Cevap:</x:v>
      </x:c>
    </x:row>
    <x:row r="30" ht="55.5" customHeight="1">
      <x:c r="A30" s="14" t="str">
        <x:v>PILOT-M1-D027</x:v>
      </x:c>
      <x:c r="B30" s="14" t="str">
        <x:v>M1</x:v>
      </x:c>
      <x:c r="C30" s="14" t="str">
        <x:v>gpt-5.5-2026-04-23</x:v>
      </x:c>
      <x:c r="D30" s="14" t="str">
        <x:v>D027</x:v>
      </x:c>
      <x:c r="E30" s="14" t="str">
        <x:v>F062</x:v>
      </x:c>
      <x:c r="F30" s="14" t="str">
        <x:v>prompt_tr_v0.1</x:v>
      </x:c>
      <x:c r="G30" s="14" t="str">
        <x:v>Ordu Tostu için üretilen özel ekmek geleneksel olarak hangi yakıtla pişirilir?</x:v>
      </x:c>
      <x:c r="H30" s="14" t="str">
        <x:v>Aşağıdaki soruyu mümkün olduğunca kısa yanıtlayın. Yalnızca cevabı yazın; açıklama, gerekçe veya ek bilgi vermeyin. Cevabı bilmiyorsanız yalnızca “Bilmiyorum” yazın.
Soru: Ordu Tostu için üretilen özel ekmek geleneksel olarak hangi yakıtla pişirilir?
Cevap:</x:v>
      </x:c>
    </x:row>
    <x:row r="31" ht="55.5" customHeight="1">
      <x:c r="A31" s="14" t="str">
        <x:v>PILOT-M1-D028</x:v>
      </x:c>
      <x:c r="B31" s="14" t="str">
        <x:v>M1</x:v>
      </x:c>
      <x:c r="C31" s="14" t="str">
        <x:v>gpt-5.5-2026-04-23</x:v>
      </x:c>
      <x:c r="D31" s="14" t="str">
        <x:v>D028</x:v>
      </x:c>
      <x:c r="E31" s="14" t="str">
        <x:v>F109</x:v>
      </x:c>
      <x:c r="F31" s="14" t="str">
        <x:v>prompt_tr_v0.1</x:v>
      </x:c>
      <x:c r="G31" s="14" t="str">
        <x:v>Tekirdağ Bulamasında köpük oluşturmak amacıyla kullanılan geleneksel bitkisel bileşen nedir?</x:v>
      </x:c>
      <x:c r="H31" s="14" t="str">
        <x:v>Aşağıdaki soruyu mümkün olduğunca kısa yanıtlayın. Yalnızca cevabı yazın; açıklama, gerekçe veya ek bilgi vermeyin. Cevabı bilmiyorsanız yalnızca “Bilmiyorum” yazın.
Soru: Tekirdağ Bulamasında köpük oluşturmak amacıyla kullanılan geleneksel bitkisel bileşen nedir?
Cevap:</x:v>
      </x:c>
    </x:row>
    <x:row r="32" ht="55.5" customHeight="1">
      <x:c r="A32" s="14" t="str">
        <x:v>PILOT-M1-D029</x:v>
      </x:c>
      <x:c r="B32" s="14" t="str">
        <x:v>M1</x:v>
      </x:c>
      <x:c r="C32" s="14" t="str">
        <x:v>gpt-5.5-2026-04-23</x:v>
      </x:c>
      <x:c r="D32" s="14" t="str">
        <x:v>D029</x:v>
      </x:c>
      <x:c r="E32" s="14" t="str">
        <x:v>F027</x:v>
      </x:c>
      <x:c r="F32" s="14" t="str">
        <x:v>prompt_tr_v0.1</x:v>
      </x:c>
      <x:c r="G32" s="14" t="str">
        <x:v>Türk kahvesi içildikten sonra fincanda kalan telve geleneksel olarak hangi uygulamada kullanılır?</x:v>
      </x:c>
      <x:c r="H32" s="14" t="str">
        <x:v>Aşağıdaki soruyu mümkün olduğunca kısa yanıtlayın. Yalnızca cevabı yazın; açıklama, gerekçe veya ek bilgi vermeyin. Cevabı bilmiyorsanız yalnızca “Bilmiyorum” yazın.
Soru: Türk kahvesi içildikten sonra fincanda kalan telve geleneksel olarak hangi uygulamada kullanılır?
Cevap:</x:v>
      </x:c>
    </x:row>
    <x:row r="33" ht="55.5" customHeight="1">
      <x:c r="A33" s="14" t="str">
        <x:v>PILOT-M1-D030</x:v>
      </x:c>
      <x:c r="B33" s="14" t="str">
        <x:v>M1</x:v>
      </x:c>
      <x:c r="C33" s="14" t="str">
        <x:v>gpt-5.5-2026-04-23</x:v>
      </x:c>
      <x:c r="D33" s="14" t="str">
        <x:v>D030</x:v>
      </x:c>
      <x:c r="E33" s="14" t="str">
        <x:v>F036</x:v>
      </x:c>
      <x:c r="F33" s="14" t="str">
        <x:v>prompt_tr_v0.1</x:v>
      </x:c>
      <x:c r="G33" s="14" t="str">
        <x:v>Türkiye ile birlikte Çay Kültürü unsurunu UNESCO'ya ortak kaydettiren ülke hangisidir?</x:v>
      </x:c>
      <x:c r="H33" s="14" t="str">
        <x:v>Aşağıdaki soruyu mümkün olduğunca kısa yanıtlayın. Yalnızca cevabı yazın; açıklama, gerekçe veya ek bilgi vermeyin. Cevabı bilmiyorsanız yalnızca “Bilmiyorum” yazın.
Soru: Türkiye ile birlikte Çay Kültürü unsurunu UNESCO'ya ortak kaydettiren ülke hangisidir?
Cevap:</x:v>
      </x:c>
    </x:row>
    <x:row r="34" ht="55.5" customHeight="1">
      <x:c r="A34" s="14" t="str">
        <x:v>PILOT-M1-D031</x:v>
      </x:c>
      <x:c r="B34" s="14" t="str">
        <x:v>M1</x:v>
      </x:c>
      <x:c r="C34" s="14" t="str">
        <x:v>gpt-5.5-2026-04-23</x:v>
      </x:c>
      <x:c r="D34" s="14" t="str">
        <x:v>D031</x:v>
      </x:c>
      <x:c r="E34" s="14" t="str">
        <x:v>F084</x:v>
      </x:c>
      <x:c r="F34" s="14" t="str">
        <x:v>prompt_tr_v0.1</x:v>
      </x:c>
      <x:c r="G34" s="14" t="str">
        <x:v>Geleneksel yassı ekmek yapımı aile dışında hangi öğrenme ilişkisiyle aktarılır?</x:v>
      </x:c>
      <x:c r="H34" s="14" t="str">
        <x:v>Aşağıdaki soruyu mümkün olduğunca kısa yanıtlayın. Yalnızca cevabı yazın; açıklama, gerekçe veya ek bilgi vermeyin. Cevabı bilmiyorsanız yalnızca “Bilmiyorum” yazın.
Soru: Geleneksel yassı ekmek yapımı aile dışında hangi öğrenme ilişkisiyle aktarılır?
Cevap:</x:v>
      </x:c>
    </x:row>
    <x:row r="35" ht="55.5" customHeight="1">
      <x:c r="A35" s="14" t="str">
        <x:v>PILOT-M1-D032</x:v>
      </x:c>
      <x:c r="B35" s="14" t="str">
        <x:v>M1</x:v>
      </x:c>
      <x:c r="C35" s="14" t="str">
        <x:v>gpt-5.5-2026-04-23</x:v>
      </x:c>
      <x:c r="D35" s="14" t="str">
        <x:v>D032</x:v>
      </x:c>
      <x:c r="E35" s="14" t="str">
        <x:v>F085</x:v>
      </x:c>
      <x:c r="F35" s="14" t="str">
        <x:v>prompt_tr_v0.1</x:v>
      </x:c>
      <x:c r="G35" s="14" t="str">
        <x:v>Törensel Keşkek geleneğinde buğday, törenden önceki gün hangi uygulama eşliğinde yıkanır?</x:v>
      </x:c>
      <x:c r="H35" s="14" t="str">
        <x:v>Aşağıdaki soruyu mümkün olduğunca kısa yanıtlayın. Yalnızca cevabı yazın; açıklama, gerekçe veya ek bilgi vermeyin. Cevabı bilmiyorsanız yalnızca “Bilmiyorum” yazın.
Soru: Törensel Keşkek geleneğinde buğday, törenden önceki gün hangi uygulama eşliğinde yıkanır?
Cevap:</x:v>
      </x:c>
    </x:row>
    <x:row r="36" ht="55.5" customHeight="1">
      <x:c r="A36" s="14" t="str">
        <x:v>PILOT-M1-D033</x:v>
      </x:c>
      <x:c r="B36" s="14" t="str">
        <x:v>M1</x:v>
      </x:c>
      <x:c r="C36" s="14" t="str">
        <x:v>gpt-5.5-2026-04-23</x:v>
      </x:c>
      <x:c r="D36" s="14" t="str">
        <x:v>D033</x:v>
      </x:c>
      <x:c r="E36" s="14" t="str">
        <x:v>F096</x:v>
      </x:c>
      <x:c r="F36" s="14" t="str">
        <x:v>prompt_tr_v0.1</x:v>
      </x:c>
      <x:c r="G36" s="14" t="str">
        <x:v>Mesir Macunu Festivali tarihsel olarak kimin iyileşmesini anar?</x:v>
      </x:c>
      <x:c r="H36" s="14" t="str">
        <x:v>Aşağıdaki soruyu mümkün olduğunca kısa yanıtlayın. Yalnızca cevabı yazın; açıklama, gerekçe veya ek bilgi vermeyin. Cevabı bilmiyorsanız yalnızca “Bilmiyorum” yazın.
Soru: Mesir Macunu Festivali tarihsel olarak kimin iyileşmesini anar?
Cevap:</x:v>
      </x:c>
    </x:row>
    <x:row r="37" ht="55.5" customHeight="1">
      <x:c r="A37" s="14" t="str">
        <x:v>PILOT-M1-D034</x:v>
      </x:c>
      <x:c r="B37" s="14" t="str">
        <x:v>M1</x:v>
      </x:c>
      <x:c r="C37" s="14" t="str">
        <x:v>gpt-5.5-2026-04-23</x:v>
      </x:c>
      <x:c r="D37" s="14" t="str">
        <x:v>D034</x:v>
      </x:c>
      <x:c r="E37" s="14" t="str">
        <x:v>F101</x:v>
      </x:c>
      <x:c r="F37" s="14" t="str">
        <x:v>prompt_tr_v0.1</x:v>
      </x:c>
      <x:c r="G37" s="14" t="str">
        <x:v>Türkiye'de güllaç geleneksel olarak hangi ay veya dönemle özdeşleşir?</x:v>
      </x:c>
      <x:c r="H37" s="14" t="str">
        <x:v>Aşağıdaki soruyu mümkün olduğunca kısa yanıtlayın. Yalnızca cevabı yazın; açıklama, gerekçe veya ek bilgi vermeyin. Cevabı bilmiyorsanız yalnızca “Bilmiyorum” yazın.
Soru: Türkiye'de güllaç geleneksel olarak hangi ay veya dönemle özdeşleşir?
Cevap:</x:v>
      </x:c>
    </x:row>
    <x:row r="38" ht="55.5" customHeight="1">
      <x:c r="A38" s="14" t="str">
        <x:v>PILOT-M1-D035</x:v>
      </x:c>
      <x:c r="B38" s="14" t="str">
        <x:v>M1</x:v>
      </x:c>
      <x:c r="C38" s="14" t="str">
        <x:v>gpt-5.5-2026-04-23</x:v>
      </x:c>
      <x:c r="D38" s="14" t="str">
        <x:v>D035</x:v>
      </x:c>
      <x:c r="E38" s="14" t="str">
        <x:v>F010</x:v>
      </x:c>
      <x:c r="F38" s="14" t="str">
        <x:v>prompt_tr_v0.1</x:v>
      </x:c>
      <x:c r="G38" s="14" t="str">
        <x:v>Afyon Sucuğunda manda etinin asgari oranı yüzde kaçtır?</x:v>
      </x:c>
      <x:c r="H38" s="14" t="str">
        <x:v>Aşağıdaki soruyu mümkün olduğunca kısa yanıtlayın. Yalnızca cevabı yazın; açıklama, gerekçe veya ek bilgi vermeyin. Cevabı bilmiyorsanız yalnızca “Bilmiyorum” yazın.
Soru: Afyon Sucuğunda manda etinin asgari oranı yüzde kaçtır?
Cevap:</x:v>
      </x:c>
    </x:row>
    <x:row r="39" ht="55.5" customHeight="1">
      <x:c r="A39" s="14" t="str">
        <x:v>PILOT-M1-D036</x:v>
      </x:c>
      <x:c r="B39" s="14" t="str">
        <x:v>M1</x:v>
      </x:c>
      <x:c r="C39" s="14" t="str">
        <x:v>gpt-5.5-2026-04-23</x:v>
      </x:c>
      <x:c r="D39" s="14" t="str">
        <x:v>D036</x:v>
      </x:c>
      <x:c r="E39" s="14" t="str">
        <x:v>F088</x:v>
      </x:c>
      <x:c r="F39" s="14" t="str">
        <x:v>prompt_tr_v0.1</x:v>
      </x:c>
      <x:c r="G39" s="14" t="str">
        <x:v>Törensel Keşkek hazırlığında buğday taş havanda kaç kişi tarafından dövülür?</x:v>
      </x:c>
      <x:c r="H39" s="14" t="str">
        <x:v>Aşağıdaki soruyu mümkün olduğunca kısa yanıtlayın. Yalnızca cevabı yazın; açıklama, gerekçe veya ek bilgi vermeyin. Cevabı bilmiyorsanız yalnızca “Bilmiyorum” yazın.
Soru: Törensel Keşkek hazırlığında buğday taş havanda kaç kişi tarafından dövülür?
Cevap:</x:v>
      </x:c>
    </x:row>
    <x:row r="40" ht="55.5" customHeight="1">
      <x:c r="A40" s="14" t="str">
        <x:v>PILOT-M2-D001</x:v>
      </x:c>
      <x:c r="B40" s="14" t="str">
        <x:v>M2</x:v>
      </x:c>
      <x:c r="C40" s="14" t="str">
        <x:v>gpt-oss-120b</x:v>
      </x:c>
      <x:c r="D40" s="14" t="str">
        <x:v>D001</x:v>
      </x:c>
      <x:c r="E40" s="14" t="str">
        <x:v>F014</x:v>
      </x:c>
      <x:c r="F40" s="14" t="str">
        <x:v>prompt_tr_v0.1</x:v>
      </x:c>
      <x:c r="G40" s="14" t="str">
        <x:v>Adana Kebabı için et geleneksel olarak hangi araçla kıyılır?</x:v>
      </x:c>
      <x:c r="H40" s="14" t="str">
        <x:v>Aşağıdaki soruyu mümkün olduğunca kısa yanıtlayın. Yalnızca cevabı yazın; açıklama, gerekçe veya ek bilgi vermeyin. Cevabı bilmiyorsanız yalnızca “Bilmiyorum” yazın.
Soru: Adana Kebabı için et geleneksel olarak hangi araçla kıyılır?
Cevap:</x:v>
      </x:c>
    </x:row>
    <x:row r="41" ht="55.5" customHeight="1">
      <x:c r="A41" s="14" t="str">
        <x:v>PILOT-M2-D002</x:v>
      </x:c>
      <x:c r="B41" s="14" t="str">
        <x:v>M2</x:v>
      </x:c>
      <x:c r="C41" s="14" t="str">
        <x:v>gpt-oss-120b</x:v>
      </x:c>
      <x:c r="D41" s="14" t="str">
        <x:v>D002</x:v>
      </x:c>
      <x:c r="E41" s="14" t="str">
        <x:v>F017</x:v>
      </x:c>
      <x:c r="F41" s="14" t="str">
        <x:v>prompt_tr_v0.1</x:v>
      </x:c>
      <x:c r="G41" s="14" t="str">
        <x:v>Maraş Tarhanasının kurutulmak üzere serildiği geleneksel sergiye ne ad verilir?</x:v>
      </x:c>
      <x:c r="H41" s="14" t="str">
        <x:v>Aşağıdaki soruyu mümkün olduğunca kısa yanıtlayın. Yalnızca cevabı yazın; açıklama, gerekçe veya ek bilgi vermeyin. Cevabı bilmiyorsanız yalnızca “Bilmiyorum” yazın.
Soru: Maraş Tarhanasının kurutulmak üzere serildiği geleneksel sergiye ne ad verilir?
Cevap:</x:v>
      </x:c>
    </x:row>
    <x:row r="42" ht="55.5" customHeight="1">
      <x:c r="A42" s="14" t="str">
        <x:v>PILOT-M2-D003</x:v>
      </x:c>
      <x:c r="B42" s="14" t="str">
        <x:v>M2</x:v>
      </x:c>
      <x:c r="C42" s="14" t="str">
        <x:v>gpt-oss-120b</x:v>
      </x:c>
      <x:c r="D42" s="14" t="str">
        <x:v>D003</x:v>
      </x:c>
      <x:c r="E42" s="14" t="str">
        <x:v>F019</x:v>
      </x:c>
      <x:c r="F42" s="14" t="str">
        <x:v>prompt_tr_v0.1</x:v>
      </x:c>
      <x:c r="G42" s="14" t="str">
        <x:v>UNESCO tanımına göre Türk kahvesi hazırlanırken öğütülmüş kahveye başlangıçta hangi sıcaklıktaki su eklenir?</x:v>
      </x:c>
      <x:c r="H42" s="14" t="str">
        <x:v>Aşağıdaki soruyu mümkün olduğunca kısa yanıtlayın. Yalnızca cevabı yazın; açıklama, gerekçe veya ek bilgi vermeyin. Cevabı bilmiyorsanız yalnızca “Bilmiyorum” yazın.
Soru: UNESCO tanımına göre Türk kahvesi hazırlanırken öğütülmüş kahveye başlangıçta hangi sıcaklıktaki su eklenir?
Cevap:</x:v>
      </x:c>
    </x:row>
    <x:row r="43" ht="55.5" customHeight="1">
      <x:c r="A43" s="14" t="str">
        <x:v>PILOT-M2-D004</x:v>
      </x:c>
      <x:c r="B43" s="14" t="str">
        <x:v>M2</x:v>
      </x:c>
      <x:c r="C43" s="14" t="str">
        <x:v>gpt-oss-120b</x:v>
      </x:c>
      <x:c r="D43" s="14" t="str">
        <x:v>D004</x:v>
      </x:c>
      <x:c r="E43" s="14" t="str">
        <x:v>F028</x:v>
      </x:c>
      <x:c r="F43" s="14" t="str">
        <x:v>prompt_tr_v0.1</x:v>
      </x:c>
      <x:c r="G43" s="14" t="str">
        <x:v>UNESCO'ya göre Türk kahvesine geleneksel olarak hangi içecek eşlik eder?</x:v>
      </x:c>
      <x:c r="H43" s="14" t="str">
        <x:v>Aşağıdaki soruyu mümkün olduğunca kısa yanıtlayın. Yalnızca cevabı yazın; açıklama, gerekçe veya ek bilgi vermeyin. Cevabı bilmiyorsanız yalnızca “Bilmiyorum” yazın.
Soru: UNESCO'ya göre Türk kahvesine geleneksel olarak hangi içecek eşlik eder?
Cevap:</x:v>
      </x:c>
    </x:row>
    <x:row r="44" ht="55.5" customHeight="1">
      <x:c r="A44" s="14" t="str">
        <x:v>PILOT-M2-D005</x:v>
      </x:c>
      <x:c r="B44" s="14" t="str">
        <x:v>M2</x:v>
      </x:c>
      <x:c r="C44" s="14" t="str">
        <x:v>gpt-oss-120b</x:v>
      </x:c>
      <x:c r="D44" s="14" t="str">
        <x:v>D005</x:v>
      </x:c>
      <x:c r="E44" s="14" t="str">
        <x:v>F056</x:v>
      </x:c>
      <x:c r="F44" s="14" t="str">
        <x:v>prompt_tr_v0.1</x:v>
      </x:c>
      <x:c r="G44" s="14" t="str">
        <x:v>Antalya Piyazını diğer piyazlardan ayıran karakteristik sos nedir?</x:v>
      </x:c>
      <x:c r="H44" s="14" t="str">
        <x:v>Aşağıdaki soruyu mümkün olduğunca kısa yanıtlayın. Yalnızca cevabı yazın; açıklama, gerekçe veya ek bilgi vermeyin. Cevabı bilmiyorsanız yalnızca “Bilmiyorum” yazın.
Soru: Antalya Piyazını diğer piyazlardan ayıran karakteristik sos nedir?
Cevap:</x:v>
      </x:c>
    </x:row>
    <x:row r="45" ht="55.5" customHeight="1">
      <x:c r="A45" s="14" t="str">
        <x:v>PILOT-M2-D006</x:v>
      </x:c>
      <x:c r="B45" s="14" t="str">
        <x:v>M2</x:v>
      </x:c>
      <x:c r="C45" s="14" t="str">
        <x:v>gpt-oss-120b</x:v>
      </x:c>
      <x:c r="D45" s="14" t="str">
        <x:v>D006</x:v>
      </x:c>
      <x:c r="E45" s="14" t="str">
        <x:v>F060</x:v>
      </x:c>
      <x:c r="F45" s="14" t="str">
        <x:v>prompt_tr_v0.1</x:v>
      </x:c>
      <x:c r="G45" s="14" t="str">
        <x:v>Tarsus Humusunda pişmiş nohut geleneksel olarak hangi araçla ezilir?</x:v>
      </x:c>
      <x:c r="H45" s="14" t="str">
        <x:v>Aşağıdaki soruyu mümkün olduğunca kısa yanıtlayın. Yalnızca cevabı yazın; açıklama, gerekçe veya ek bilgi vermeyin. Cevabı bilmiyorsanız yalnızca “Bilmiyorum” yazın.
Soru: Tarsus Humusunda pişmiş nohut geleneksel olarak hangi araçla ezilir?
Cevap:</x:v>
      </x:c>
    </x:row>
    <x:row r="46" ht="55.5" customHeight="1">
      <x:c r="A46" s="14" t="str">
        <x:v>PILOT-M2-D007</x:v>
      </x:c>
      <x:c r="B46" s="14" t="str">
        <x:v>M2</x:v>
      </x:c>
      <x:c r="C46" s="14" t="str">
        <x:v>gpt-oss-120b</x:v>
      </x:c>
      <x:c r="D46" s="14" t="str">
        <x:v>D007</x:v>
      </x:c>
      <x:c r="E46" s="14" t="str">
        <x:v>F065</x:v>
      </x:c>
      <x:c r="F46" s="14" t="str">
        <x:v>prompt_tr_v0.1</x:v>
      </x:c>
      <x:c r="G46" s="14" t="str">
        <x:v>Erzincan Kesme Kadayıfında yufka katlarının arasına hangi kuruyemiş konur?</x:v>
      </x:c>
      <x:c r="H46" s="14" t="str">
        <x:v>Aşağıdaki soruyu mümkün olduğunca kısa yanıtlayın. Yalnızca cevabı yazın; açıklama, gerekçe veya ek bilgi vermeyin. Cevabı bilmiyorsanız yalnızca “Bilmiyorum” yazın.
Soru: Erzincan Kesme Kadayıfında yufka katlarının arasına hangi kuruyemiş konur?
Cevap:</x:v>
      </x:c>
    </x:row>
    <x:row r="47" ht="55.5" customHeight="1">
      <x:c r="A47" s="14" t="str">
        <x:v>PILOT-M2-D008</x:v>
      </x:c>
      <x:c r="B47" s="14" t="str">
        <x:v>M2</x:v>
      </x:c>
      <x:c r="C47" s="14" t="str">
        <x:v>gpt-oss-120b</x:v>
      </x:c>
      <x:c r="D47" s="14" t="str">
        <x:v>D008</x:v>
      </x:c>
      <x:c r="E47" s="14" t="str">
        <x:v>F068</x:v>
      </x:c>
      <x:c r="F47" s="14" t="str">
        <x:v>prompt_tr_v0.1</x:v>
      </x:c>
      <x:c r="G47" s="14" t="str">
        <x:v>Diyarbakır Kaburga Dolmasının pirinçli iç harcında hangi kuruyemiş kullanılır?</x:v>
      </x:c>
      <x:c r="H47" s="14" t="str">
        <x:v>Aşağıdaki soruyu mümkün olduğunca kısa yanıtlayın. Yalnızca cevabı yazın; açıklama, gerekçe veya ek bilgi vermeyin. Cevabı bilmiyorsanız yalnızca “Bilmiyorum” yazın.
Soru: Diyarbakır Kaburga Dolmasının pirinçli iç harcında hangi kuruyemiş kullanılır?
Cevap:</x:v>
      </x:c>
    </x:row>
    <x:row r="48" ht="55.5" customHeight="1">
      <x:c r="A48" s="14" t="str">
        <x:v>PILOT-M2-D009</x:v>
      </x:c>
      <x:c r="B48" s="14" t="str">
        <x:v>M2</x:v>
      </x:c>
      <x:c r="C48" s="14" t="str">
        <x:v>gpt-oss-120b</x:v>
      </x:c>
      <x:c r="D48" s="14" t="str">
        <x:v>D009</x:v>
      </x:c>
      <x:c r="E48" s="14" t="str">
        <x:v>F009</x:v>
      </x:c>
      <x:c r="F48" s="14" t="str">
        <x:v>prompt_tr_v0.1</x:v>
      </x:c>
      <x:c r="G48" s="14" t="str">
        <x:v>Maraş Tarhanasının iki temel bileşeni nedir?</x:v>
      </x:c>
      <x:c r="H48" s="14" t="str">
        <x:v>Aşağıdaki soruyu mümkün olduğunca kısa yanıtlayın. Yalnızca cevabı yazın; açıklama, gerekçe veya ek bilgi vermeyin. Cevabı bilmiyorsanız yalnızca “Bilmiyorum” yazın.
Soru: Maraş Tarhanasının iki temel bileşeni nedir?
Cevap:</x:v>
      </x:c>
    </x:row>
    <x:row r="49" ht="55.5" customHeight="1">
      <x:c r="A49" s="14" t="str">
        <x:v>PILOT-M2-D010</x:v>
      </x:c>
      <x:c r="B49" s="14" t="str">
        <x:v>M2</x:v>
      </x:c>
      <x:c r="C49" s="14" t="str">
        <x:v>gpt-oss-120b</x:v>
      </x:c>
      <x:c r="D49" s="14" t="str">
        <x:v>D010</x:v>
      </x:c>
      <x:c r="E49" s="14" t="str">
        <x:v>F031</x:v>
      </x:c>
      <x:c r="F49" s="14" t="str">
        <x:v>prompt_tr_v0.1</x:v>
      </x:c>
      <x:c r="G49" s="14" t="str">
        <x:v>UNESCO tanımına göre çay geleneksel olarak hangi biçimdeki bardaklarda servis edilir?</x:v>
      </x:c>
      <x:c r="H49" s="14" t="str">
        <x:v>Aşağıdaki soruyu mümkün olduğunca kısa yanıtlayın. Yalnızca cevabı yazın; açıklama, gerekçe veya ek bilgi vermeyin. Cevabı bilmiyorsanız yalnızca “Bilmiyorum” yazın.
Soru: UNESCO tanımına göre çay geleneksel olarak hangi biçimdeki bardaklarda servis edilir?
Cevap:</x:v>
      </x:c>
    </x:row>
    <x:row r="50" ht="55.5" customHeight="1">
      <x:c r="A50" s="14" t="str">
        <x:v>PILOT-M2-D011</x:v>
      </x:c>
      <x:c r="B50" s="14" t="str">
        <x:v>M2</x:v>
      </x:c>
      <x:c r="C50" s="14" t="str">
        <x:v>gpt-oss-120b</x:v>
      </x:c>
      <x:c r="D50" s="14" t="str">
        <x:v>D011</x:v>
      </x:c>
      <x:c r="E50" s="14" t="str">
        <x:v>F083</x:v>
      </x:c>
      <x:c r="F50" s="14" t="str">
        <x:v>prompt_tr_v0.1</x:v>
      </x:c>
      <x:c r="G50" s="14" t="str">
        <x:v>UNESCO kaydına göre Türkiye'de düğünlerde yassı ekmek kimlere verilir?</x:v>
      </x:c>
      <x:c r="H50" s="14" t="str">
        <x:v>Aşağıdaki soruyu mümkün olduğunca kısa yanıtlayın. Yalnızca cevabı yazın; açıklama, gerekçe veya ek bilgi vermeyin. Cevabı bilmiyorsanız yalnızca “Bilmiyorum” yazın.
Soru: UNESCO kaydına göre Türkiye'de düğünlerde yassı ekmek kimlere verilir?
Cevap:</x:v>
      </x:c>
    </x:row>
    <x:row r="51" ht="55.5" customHeight="1">
      <x:c r="A51" s="14" t="str">
        <x:v>PILOT-M2-D012</x:v>
      </x:c>
      <x:c r="B51" s="14" t="str">
        <x:v>M2</x:v>
      </x:c>
      <x:c r="C51" s="14" t="str">
        <x:v>gpt-oss-120b</x:v>
      </x:c>
      <x:c r="D51" s="14" t="str">
        <x:v>D012</x:v>
      </x:c>
      <x:c r="E51" s="14" t="str">
        <x:v>F087</x:v>
      </x:c>
      <x:c r="F51" s="14" t="str">
        <x:v>prompt_tr_v0.1</x:v>
      </x:c>
      <x:c r="G51" s="14" t="str">
        <x:v>Törensel Keşkek geleneğinde buğday taşınırken hangi iki çalgı çalınır?</x:v>
      </x:c>
      <x:c r="H51" s="14" t="str">
        <x:v>Aşağıdaki soruyu mümkün olduğunca kısa yanıtlayın. Yalnızca cevabı yazın; açıklama, gerekçe veya ek bilgi vermeyin. Cevabı bilmiyorsanız yalnızca “Bilmiyorum” yazın.
Soru: Törensel Keşkek geleneğinde buğday taşınırken hangi iki çalgı çalınır?
Cevap:</x:v>
      </x:c>
    </x:row>
    <x:row r="52" ht="55.5" customHeight="1">
      <x:c r="A52" s="14" t="str">
        <x:v>PILOT-M2-D013</x:v>
      </x:c>
      <x:c r="B52" s="14" t="str">
        <x:v>M2</x:v>
      </x:c>
      <x:c r="C52" s="14" t="str">
        <x:v>gpt-oss-120b</x:v>
      </x:c>
      <x:c r="D52" s="14" t="str">
        <x:v>D013</x:v>
      </x:c>
      <x:c r="E52" s="14" t="str">
        <x:v>F100</x:v>
      </x:c>
      <x:c r="F52" s="14" t="str">
        <x:v>prompt_tr_v0.1</x:v>
      </x:c>
      <x:c r="G52" s="14" t="str">
        <x:v>Kültür Portalına göre aşurenin temsil ettiği iki temel kavram nedir?</x:v>
      </x:c>
      <x:c r="H52" s="14" t="str">
        <x:v>Aşağıdaki soruyu mümkün olduğunca kısa yanıtlayın. Yalnızca cevabı yazın; açıklama, gerekçe veya ek bilgi vermeyin. Cevabı bilmiyorsanız yalnızca “Bilmiyorum” yazın.
Soru: Kültür Portalına göre aşurenin temsil ettiği iki temel kavram nedir?
Cevap:</x:v>
      </x:c>
    </x:row>
    <x:row r="53" ht="55.5" customHeight="1">
      <x:c r="A53" s="14" t="str">
        <x:v>PILOT-M2-D014</x:v>
      </x:c>
      <x:c r="B53" s="14" t="str">
        <x:v>M2</x:v>
      </x:c>
      <x:c r="C53" s="14" t="str">
        <x:v>gpt-oss-120b</x:v>
      </x:c>
      <x:c r="D53" s="14" t="str">
        <x:v>D014</x:v>
      </x:c>
      <x:c r="E53" s="14" t="str">
        <x:v>F112</x:v>
      </x:c>
      <x:c r="F53" s="14" t="str">
        <x:v>prompt_tr_v0.1</x:v>
      </x:c>
      <x:c r="G53" s="14" t="str">
        <x:v>Tekirdağ'daki Herise geleneğinde düğün için hazırlanan yemekten özellikle hangi iki gruba gönderilir?</x:v>
      </x:c>
      <x:c r="H53" s="14" t="str">
        <x:v>Aşağıdaki soruyu mümkün olduğunca kısa yanıtlayın. Yalnızca cevabı yazın; açıklama, gerekçe veya ek bilgi vermeyin. Cevabı bilmiyorsanız yalnızca “Bilmiyorum” yazın.
Soru: Tekirdağ'daki Herise geleneğinde düğün için hazırlanan yemekten özellikle hangi iki gruba gönderilir?
Cevap:</x:v>
      </x:c>
    </x:row>
    <x:row r="54" ht="55.5" customHeight="1">
      <x:c r="A54" s="14" t="str">
        <x:v>PILOT-M2-D015</x:v>
      </x:c>
      <x:c r="B54" s="14" t="str">
        <x:v>M2</x:v>
      </x:c>
      <x:c r="C54" s="14" t="str">
        <x:v>gpt-oss-120b</x:v>
      </x:c>
      <x:c r="D54" s="14" t="str">
        <x:v>D015</x:v>
      </x:c>
      <x:c r="E54" s="14" t="str">
        <x:v>F059</x:v>
      </x:c>
      <x:c r="F54" s="14" t="str">
        <x:v>prompt_tr_v0.1</x:v>
      </x:c>
      <x:c r="G54" s="14" t="str">
        <x:v>Tarsus Humusunda nohutların ezildiği geleneksel bakır kabın adı nedir?</x:v>
      </x:c>
      <x:c r="H54" s="14" t="str">
        <x:v>Aşağıdaki soruyu mümkün olduğunca kısa yanıtlayın. Yalnızca cevabı yazın; açıklama, gerekçe veya ek bilgi vermeyin. Cevabı bilmiyorsanız yalnızca “Bilmiyorum” yazın.
Soru: Tarsus Humusunda nohutların ezildiği geleneksel bakır kabın adı nedir?
Cevap:</x:v>
      </x:c>
    </x:row>
    <x:row r="55" ht="55.5" customHeight="1">
      <x:c r="A55" s="14" t="str">
        <x:v>PILOT-M2-D016</x:v>
      </x:c>
      <x:c r="B55" s="14" t="str">
        <x:v>M2</x:v>
      </x:c>
      <x:c r="C55" s="14" t="str">
        <x:v>gpt-oss-120b</x:v>
      </x:c>
      <x:c r="D55" s="14" t="str">
        <x:v>D016</x:v>
      </x:c>
      <x:c r="E55" s="14" t="str">
        <x:v>F102</x:v>
      </x:c>
      <x:c r="F55" s="14" t="str">
        <x:v>prompt_tr_v0.1</x:v>
      </x:c>
      <x:c r="G55" s="14" t="str">
        <x:v>İzmir kültüründe lokmanın özel günlerde hazırlanarak halka ücretsiz dağıtılması geleneğine ne ad verilir?</x:v>
      </x:c>
      <x:c r="H55" s="14" t="str">
        <x:v>Aşağıdaki soruyu mümkün olduğunca kısa yanıtlayın. Yalnızca cevabı yazın; açıklama, gerekçe veya ek bilgi vermeyin. Cevabı bilmiyorsanız yalnızca “Bilmiyorum” yazın.
Soru: İzmir kültüründe lokmanın özel günlerde hazırlanarak halka ücretsiz dağıtılması geleneğine ne ad verilir?
Cevap:</x:v>
      </x:c>
    </x:row>
    <x:row r="56" ht="55.5" customHeight="1">
      <x:c r="A56" s="14" t="str">
        <x:v>PILOT-M2-D017</x:v>
      </x:c>
      <x:c r="B56" s="14" t="str">
        <x:v>M2</x:v>
      </x:c>
      <x:c r="C56" s="14" t="str">
        <x:v>gpt-oss-120b</x:v>
      </x:c>
      <x:c r="D56" s="14" t="str">
        <x:v>D017</x:v>
      </x:c>
      <x:c r="E56" s="14" t="str">
        <x:v>F104</x:v>
      </x:c>
      <x:c r="F56" s="14" t="str">
        <x:v>prompt_tr_v0.1</x:v>
      </x:c>
      <x:c r="G56" s="14" t="str">
        <x:v>İzmir'in bazı yörelerinde Sura'nın üzerine sarılan yağlı zar tabakasına verilen geleneksel adlardan biri nedir?</x:v>
      </x:c>
      <x:c r="H56" s="14" t="str">
        <x:v>Aşağıdaki soruyu mümkün olduğunca kısa yanıtlayın. Yalnızca cevabı yazın; açıklama, gerekçe veya ek bilgi vermeyin. Cevabı bilmiyorsanız yalnızca “Bilmiyorum” yazın.
Soru: İzmir'in bazı yörelerinde Sura'nın üzerine sarılan yağlı zar tabakasına verilen geleneksel adlardan biri nedir?
Cevap:</x:v>
      </x:c>
    </x:row>
    <x:row r="57" ht="55.5" customHeight="1">
      <x:c r="A57" s="14" t="str">
        <x:v>PILOT-M2-D018</x:v>
      </x:c>
      <x:c r="B57" s="14" t="str">
        <x:v>M2</x:v>
      </x:c>
      <x:c r="C57" s="14" t="str">
        <x:v>gpt-oss-120b</x:v>
      </x:c>
      <x:c r="D57" s="14" t="str">
        <x:v>D018</x:v>
      </x:c>
      <x:c r="E57" s="14" t="str">
        <x:v>F106</x:v>
      </x:c>
      <x:c r="F57" s="14" t="str">
        <x:v>prompt_tr_v0.1</x:v>
      </x:c>
      <x:c r="G57" s="14" t="str">
        <x:v>İzmir mutfağındaki cibez, Tire civarında hangi adla da bilinir?</x:v>
      </x:c>
      <x:c r="H57" s="14" t="str">
        <x:v>Aşağıdaki soruyu mümkün olduğunca kısa yanıtlayın. Yalnızca cevabı yazın; açıklama, gerekçe veya ek bilgi vermeyin. Cevabı bilmiyorsanız yalnızca “Bilmiyorum” yazın.
Soru: İzmir mutfağındaki cibez, Tire civarında hangi adla da bilinir?
Cevap:</x:v>
      </x:c>
    </x:row>
    <x:row r="58" ht="55.5" customHeight="1">
      <x:c r="A58" s="14" t="str">
        <x:v>PILOT-M2-D019</x:v>
      </x:c>
      <x:c r="B58" s="14" t="str">
        <x:v>M2</x:v>
      </x:c>
      <x:c r="C58" s="14" t="str">
        <x:v>gpt-oss-120b</x:v>
      </x:c>
      <x:c r="D58" s="14" t="str">
        <x:v>D019</x:v>
      </x:c>
      <x:c r="E58" s="14" t="str">
        <x:v>F113</x:v>
      </x:c>
      <x:c r="F58" s="14" t="str">
        <x:v>prompt_tr_v0.1</x:v>
      </x:c>
      <x:c r="G58" s="14" t="str">
        <x:v>Edirne mutfağındaki Kaçamak başka hangi adla bilinir?</x:v>
      </x:c>
      <x:c r="H58" s="14" t="str">
        <x:v>Aşağıdaki soruyu mümkün olduğunca kısa yanıtlayın. Yalnızca cevabı yazın; açıklama, gerekçe veya ek bilgi vermeyin. Cevabı bilmiyorsanız yalnızca “Bilmiyorum” yazın.
Soru: Edirne mutfağındaki Kaçamak başka hangi adla bilinir?
Cevap:</x:v>
      </x:c>
    </x:row>
    <x:row r="59" ht="55.5" customHeight="1">
      <x:c r="A59" s="14" t="str">
        <x:v>PILOT-M2-D020</x:v>
      </x:c>
      <x:c r="B59" s="14" t="str">
        <x:v>M2</x:v>
      </x:c>
      <x:c r="C59" s="14" t="str">
        <x:v>gpt-oss-120b</x:v>
      </x:c>
      <x:c r="D59" s="14" t="str">
        <x:v>D020</x:v>
      </x:c>
      <x:c r="E59" s="14" t="str">
        <x:v>F116</x:v>
      </x:c>
      <x:c r="F59" s="14" t="str">
        <x:v>prompt_tr_v0.1</x:v>
      </x:c>
      <x:c r="G59" s="14" t="str">
        <x:v>Afyonkarahisar'da doğumdan sonra misafirlere ikram edilen sıra yemeklerine ne ad verilir?</x:v>
      </x:c>
      <x:c r="H59" s="14" t="str">
        <x:v>Aşağıdaki soruyu mümkün olduğunca kısa yanıtlayın. Yalnızca cevabı yazın; açıklama, gerekçe veya ek bilgi vermeyin. Cevabı bilmiyorsanız yalnızca “Bilmiyorum” yazın.
Soru: Afyonkarahisar'da doğumdan sonra misafirlere ikram edilen sıra yemeklerine ne ad verilir?
Cevap:</x:v>
      </x:c>
    </x:row>
    <x:row r="60" ht="55.5" customHeight="1">
      <x:c r="A60" s="14" t="str">
        <x:v>PILOT-M2-D021</x:v>
      </x:c>
      <x:c r="B60" s="14" t="str">
        <x:v>M2</x:v>
      </x:c>
      <x:c r="C60" s="14" t="str">
        <x:v>gpt-oss-120b</x:v>
      </x:c>
      <x:c r="D60" s="14" t="str">
        <x:v>D021</x:v>
      </x:c>
      <x:c r="E60" s="14" t="str">
        <x:v>F117</x:v>
      </x:c>
      <x:c r="F60" s="14" t="str">
        <x:v>prompt_tr_v0.1</x:v>
      </x:c>
      <x:c r="G60" s="14" t="str">
        <x:v>Afyonkarahisar'da nişan gecesinin ertesi günü yapılan geleneksel yemekli davetin adı nedir?</x:v>
      </x:c>
      <x:c r="H60" s="14" t="str">
        <x:v>Aşağıdaki soruyu mümkün olduğunca kısa yanıtlayın. Yalnızca cevabı yazın; açıklama, gerekçe veya ek bilgi vermeyin. Cevabı bilmiyorsanız yalnızca “Bilmiyorum” yazın.
Soru: Afyonkarahisar'da nişan gecesinin ertesi günü yapılan geleneksel yemekli davetin adı nedir?
Cevap:</x:v>
      </x:c>
    </x:row>
    <x:row r="61" ht="55.5" customHeight="1">
      <x:c r="A61" s="14" t="str">
        <x:v>PILOT-M2-D022</x:v>
      </x:c>
      <x:c r="B61" s="14" t="str">
        <x:v>M2</x:v>
      </x:c>
      <x:c r="C61" s="14" t="str">
        <x:v>gpt-oss-120b</x:v>
      </x:c>
      <x:c r="D61" s="14" t="str">
        <x:v>D022</x:v>
      </x:c>
      <x:c r="E61" s="14" t="str">
        <x:v>F118</x:v>
      </x:c>
      <x:c r="F61" s="14" t="str">
        <x:v>prompt_tr_v0.1</x:v>
      </x:c>
      <x:c r="G61" s="14" t="str">
        <x:v>Afyonkarahisar sıra yemeklerinde yemeklerin sofraya geliş sırasını düzenleme işine ne ad verilir?</x:v>
      </x:c>
      <x:c r="H61" s="14" t="str">
        <x:v>Aşağıdaki soruyu mümkün olduğunca kısa yanıtlayın. Yalnızca cevabı yazın; açıklama, gerekçe veya ek bilgi vermeyin. Cevabı bilmiyorsanız yalnızca “Bilmiyorum” yazın.
Soru: Afyonkarahisar sıra yemeklerinde yemeklerin sofraya geliş sırasını düzenleme işine ne ad verilir?
Cevap:</x:v>
      </x:c>
    </x:row>
    <x:row r="62" ht="55.5" customHeight="1">
      <x:c r="A62" s="14" t="str">
        <x:v>PILOT-M2-D023</x:v>
      </x:c>
      <x:c r="B62" s="14" t="str">
        <x:v>M2</x:v>
      </x:c>
      <x:c r="C62" s="14" t="str">
        <x:v>gpt-oss-120b</x:v>
      </x:c>
      <x:c r="D62" s="14" t="str">
        <x:v>D023</x:v>
      </x:c>
      <x:c r="E62" s="14" t="str">
        <x:v>F008</x:v>
      </x:c>
      <x:c r="F62" s="14" t="str">
        <x:v>prompt_tr_v0.1</x:v>
      </x:c>
      <x:c r="G62" s="14" t="str">
        <x:v>Kuru Antep Baklavasında raf ömrünü uzatmak amacıyla kullanılmayan bileşen nedir?</x:v>
      </x:c>
      <x:c r="H62" s="14" t="str">
        <x:v>Aşağıdaki soruyu mümkün olduğunca kısa yanıtlayın. Yalnızca cevabı yazın; açıklama, gerekçe veya ek bilgi vermeyin. Cevabı bilmiyorsanız yalnızca “Bilmiyorum” yazın.
Soru: Kuru Antep Baklavasında raf ömrünü uzatmak amacıyla kullanılmayan bileşen nedir?
Cevap:</x:v>
      </x:c>
    </x:row>
    <x:row r="63" ht="55.5" customHeight="1">
      <x:c r="A63" s="14" t="str">
        <x:v>PILOT-M2-D024</x:v>
      </x:c>
      <x:c r="B63" s="14" t="str">
        <x:v>M2</x:v>
      </x:c>
      <x:c r="C63" s="14" t="str">
        <x:v>gpt-oss-120b</x:v>
      </x:c>
      <x:c r="D63" s="14" t="str">
        <x:v>D024</x:v>
      </x:c>
      <x:c r="E63" s="14" t="str">
        <x:v>F016</x:v>
      </x:c>
      <x:c r="F63" s="14" t="str">
        <x:v>prompt_tr_v0.1</x:v>
      </x:c>
      <x:c r="G63" s="14" t="str">
        <x:v>Maraş Tarhanası üretiminde yoğurt, dövmeye hangi aşamada eklenir?</x:v>
      </x:c>
      <x:c r="H63" s="14" t="str">
        <x:v>Aşağıdaki soruyu mümkün olduğunca kısa yanıtlayın. Yalnızca cevabı yazın; açıklama, gerekçe veya ek bilgi vermeyin. Cevabı bilmiyorsanız yalnızca “Bilmiyorum” yazın.
Soru: Maraş Tarhanası üretiminde yoğurt, dövmeye hangi aşamada eklenir?
Cevap:</x:v>
      </x:c>
    </x:row>
    <x:row r="64" ht="55.5" customHeight="1">
      <x:c r="A64" s="14" t="str">
        <x:v>PILOT-M2-D025</x:v>
      </x:c>
      <x:c r="B64" s="14" t="str">
        <x:v>M2</x:v>
      </x:c>
      <x:c r="C64" s="14" t="str">
        <x:v>gpt-oss-120b</x:v>
      </x:c>
      <x:c r="D64" s="14" t="str">
        <x:v>D025</x:v>
      </x:c>
      <x:c r="E64" s="14" t="str">
        <x:v>F018</x:v>
      </x:c>
      <x:c r="F64" s="14" t="str">
        <x:v>prompt_tr_v0.1</x:v>
      </x:c>
      <x:c r="G64" s="14" t="str">
        <x:v>Afyon Sucuğu hamuru hangi tür bağırsağa doldurulur?</x:v>
      </x:c>
      <x:c r="H64" s="14" t="str">
        <x:v>Aşağıdaki soruyu mümkün olduğunca kısa yanıtlayın. Yalnızca cevabı yazın; açıklama, gerekçe veya ek bilgi vermeyin. Cevabı bilmiyorsanız yalnızca “Bilmiyorum” yazın.
Soru: Afyon Sucuğu hamuru hangi tür bağırsağa doldurulur?
Cevap:</x:v>
      </x:c>
    </x:row>
    <x:row r="65" ht="55.5" customHeight="1">
      <x:c r="A65" s="14" t="str">
        <x:v>PILOT-M2-D026</x:v>
      </x:c>
      <x:c r="B65" s="14" t="str">
        <x:v>M2</x:v>
      </x:c>
      <x:c r="C65" s="14" t="str">
        <x:v>gpt-oss-120b</x:v>
      </x:c>
      <x:c r="D65" s="14" t="str">
        <x:v>D026</x:v>
      </x:c>
      <x:c r="E65" s="14" t="str">
        <x:v>F052</x:v>
      </x:c>
      <x:c r="F65" s="14" t="str">
        <x:v>prompt_tr_v0.1</x:v>
      </x:c>
      <x:c r="G65" s="14" t="str">
        <x:v>Malatya Kâğıt Kebabının taş fırını geleneksel olarak hangi odunla ısıtılır?</x:v>
      </x:c>
      <x:c r="H65" s="14" t="str">
        <x:v>Aşağıdaki soruyu mümkün olduğunca kısa yanıtlayın. Yalnızca cevabı yazın; açıklama, gerekçe veya ek bilgi vermeyin. Cevabı bilmiyorsanız yalnızca “Bilmiyorum” yazın.
Soru: Malatya Kâğıt Kebabının taş fırını geleneksel olarak hangi odunla ısıtılır?
Cevap:</x:v>
      </x:c>
    </x:row>
    <x:row r="66" ht="55.5" customHeight="1">
      <x:c r="A66" s="14" t="str">
        <x:v>PILOT-M2-D027</x:v>
      </x:c>
      <x:c r="B66" s="14" t="str">
        <x:v>M2</x:v>
      </x:c>
      <x:c r="C66" s="14" t="str">
        <x:v>gpt-oss-120b</x:v>
      </x:c>
      <x:c r="D66" s="14" t="str">
        <x:v>D027</x:v>
      </x:c>
      <x:c r="E66" s="14" t="str">
        <x:v>F062</x:v>
      </x:c>
      <x:c r="F66" s="14" t="str">
        <x:v>prompt_tr_v0.1</x:v>
      </x:c>
      <x:c r="G66" s="14" t="str">
        <x:v>Ordu Tostu için üretilen özel ekmek geleneksel olarak hangi yakıtla pişirilir?</x:v>
      </x:c>
      <x:c r="H66" s="14" t="str">
        <x:v>Aşağıdaki soruyu mümkün olduğunca kısa yanıtlayın. Yalnızca cevabı yazın; açıklama, gerekçe veya ek bilgi vermeyin. Cevabı bilmiyorsanız yalnızca “Bilmiyorum” yazın.
Soru: Ordu Tostu için üretilen özel ekmek geleneksel olarak hangi yakıtla pişirilir?
Cevap:</x:v>
      </x:c>
    </x:row>
    <x:row r="67" ht="55.5" customHeight="1">
      <x:c r="A67" s="14" t="str">
        <x:v>PILOT-M2-D028</x:v>
      </x:c>
      <x:c r="B67" s="14" t="str">
        <x:v>M2</x:v>
      </x:c>
      <x:c r="C67" s="14" t="str">
        <x:v>gpt-oss-120b</x:v>
      </x:c>
      <x:c r="D67" s="14" t="str">
        <x:v>D028</x:v>
      </x:c>
      <x:c r="E67" s="14" t="str">
        <x:v>F109</x:v>
      </x:c>
      <x:c r="F67" s="14" t="str">
        <x:v>prompt_tr_v0.1</x:v>
      </x:c>
      <x:c r="G67" s="14" t="str">
        <x:v>Tekirdağ Bulamasında köpük oluşturmak amacıyla kullanılan geleneksel bitkisel bileşen nedir?</x:v>
      </x:c>
      <x:c r="H67" s="14" t="str">
        <x:v>Aşağıdaki soruyu mümkün olduğunca kısa yanıtlayın. Yalnızca cevabı yazın; açıklama, gerekçe veya ek bilgi vermeyin. Cevabı bilmiyorsanız yalnızca “Bilmiyorum” yazın.
Soru: Tekirdağ Bulamasında köpük oluşturmak amacıyla kullanılan geleneksel bitkisel bileşen nedir?
Cevap:</x:v>
      </x:c>
    </x:row>
    <x:row r="68" ht="55.5" customHeight="1">
      <x:c r="A68" s="14" t="str">
        <x:v>PILOT-M2-D029</x:v>
      </x:c>
      <x:c r="B68" s="14" t="str">
        <x:v>M2</x:v>
      </x:c>
      <x:c r="C68" s="14" t="str">
        <x:v>gpt-oss-120b</x:v>
      </x:c>
      <x:c r="D68" s="14" t="str">
        <x:v>D029</x:v>
      </x:c>
      <x:c r="E68" s="14" t="str">
        <x:v>F027</x:v>
      </x:c>
      <x:c r="F68" s="14" t="str">
        <x:v>prompt_tr_v0.1</x:v>
      </x:c>
      <x:c r="G68" s="14" t="str">
        <x:v>Türk kahvesi içildikten sonra fincanda kalan telve geleneksel olarak hangi uygulamada kullanılır?</x:v>
      </x:c>
      <x:c r="H68" s="14" t="str">
        <x:v>Aşağıdaki soruyu mümkün olduğunca kısa yanıtlayın. Yalnızca cevabı yazın; açıklama, gerekçe veya ek bilgi vermeyin. Cevabı bilmiyorsanız yalnızca “Bilmiyorum” yazın.
Soru: Türk kahvesi içildikten sonra fincanda kalan telve geleneksel olarak hangi uygulamada kullanılır?
Cevap:</x:v>
      </x:c>
    </x:row>
    <x:row r="69" ht="55.5" customHeight="1">
      <x:c r="A69" s="14" t="str">
        <x:v>PILOT-M2-D030</x:v>
      </x:c>
      <x:c r="B69" s="14" t="str">
        <x:v>M2</x:v>
      </x:c>
      <x:c r="C69" s="14" t="str">
        <x:v>gpt-oss-120b</x:v>
      </x:c>
      <x:c r="D69" s="14" t="str">
        <x:v>D030</x:v>
      </x:c>
      <x:c r="E69" s="14" t="str">
        <x:v>F036</x:v>
      </x:c>
      <x:c r="F69" s="14" t="str">
        <x:v>prompt_tr_v0.1</x:v>
      </x:c>
      <x:c r="G69" s="14" t="str">
        <x:v>Türkiye ile birlikte Çay Kültürü unsurunu UNESCO'ya ortak kaydettiren ülke hangisidir?</x:v>
      </x:c>
      <x:c r="H69" s="14" t="str">
        <x:v>Aşağıdaki soruyu mümkün olduğunca kısa yanıtlayın. Yalnızca cevabı yazın; açıklama, gerekçe veya ek bilgi vermeyin. Cevabı bilmiyorsanız yalnızca “Bilmiyorum” yazın.
Soru: Türkiye ile birlikte Çay Kültürü unsurunu UNESCO'ya ortak kaydettiren ülke hangisidir?
Cevap:</x:v>
      </x:c>
    </x:row>
    <x:row r="70" ht="55.5" customHeight="1">
      <x:c r="A70" s="14" t="str">
        <x:v>PILOT-M2-D031</x:v>
      </x:c>
      <x:c r="B70" s="14" t="str">
        <x:v>M2</x:v>
      </x:c>
      <x:c r="C70" s="14" t="str">
        <x:v>gpt-oss-120b</x:v>
      </x:c>
      <x:c r="D70" s="14" t="str">
        <x:v>D031</x:v>
      </x:c>
      <x:c r="E70" s="14" t="str">
        <x:v>F084</x:v>
      </x:c>
      <x:c r="F70" s="14" t="str">
        <x:v>prompt_tr_v0.1</x:v>
      </x:c>
      <x:c r="G70" s="14" t="str">
        <x:v>Geleneksel yassı ekmek yapımı aile dışında hangi öğrenme ilişkisiyle aktarılır?</x:v>
      </x:c>
      <x:c r="H70" s="14" t="str">
        <x:v>Aşağıdaki soruyu mümkün olduğunca kısa yanıtlayın. Yalnızca cevabı yazın; açıklama, gerekçe veya ek bilgi vermeyin. Cevabı bilmiyorsanız yalnızca “Bilmiyorum” yazın.
Soru: Geleneksel yassı ekmek yapımı aile dışında hangi öğrenme ilişkisiyle aktarılır?
Cevap:</x:v>
      </x:c>
    </x:row>
    <x:row r="71" ht="55.5" customHeight="1">
      <x:c r="A71" s="14" t="str">
        <x:v>PILOT-M2-D032</x:v>
      </x:c>
      <x:c r="B71" s="14" t="str">
        <x:v>M2</x:v>
      </x:c>
      <x:c r="C71" s="14" t="str">
        <x:v>gpt-oss-120b</x:v>
      </x:c>
      <x:c r="D71" s="14" t="str">
        <x:v>D032</x:v>
      </x:c>
      <x:c r="E71" s="14" t="str">
        <x:v>F085</x:v>
      </x:c>
      <x:c r="F71" s="14" t="str">
        <x:v>prompt_tr_v0.1</x:v>
      </x:c>
      <x:c r="G71" s="14" t="str">
        <x:v>Törensel Keşkek geleneğinde buğday, törenden önceki gün hangi uygulama eşliğinde yıkanır?</x:v>
      </x:c>
      <x:c r="H71" s="14" t="str">
        <x:v>Aşağıdaki soruyu mümkün olduğunca kısa yanıtlayın. Yalnızca cevabı yazın; açıklama, gerekçe veya ek bilgi vermeyin. Cevabı bilmiyorsanız yalnızca “Bilmiyorum” yazın.
Soru: Törensel Keşkek geleneğinde buğday, törenden önceki gün hangi uygulama eşliğinde yıkanır?
Cevap:</x:v>
      </x:c>
    </x:row>
    <x:row r="72" ht="55.5" customHeight="1">
      <x:c r="A72" s="14" t="str">
        <x:v>PILOT-M2-D033</x:v>
      </x:c>
      <x:c r="B72" s="14" t="str">
        <x:v>M2</x:v>
      </x:c>
      <x:c r="C72" s="14" t="str">
        <x:v>gpt-oss-120b</x:v>
      </x:c>
      <x:c r="D72" s="14" t="str">
        <x:v>D033</x:v>
      </x:c>
      <x:c r="E72" s="14" t="str">
        <x:v>F096</x:v>
      </x:c>
      <x:c r="F72" s="14" t="str">
        <x:v>prompt_tr_v0.1</x:v>
      </x:c>
      <x:c r="G72" s="14" t="str">
        <x:v>Mesir Macunu Festivali tarihsel olarak kimin iyileşmesini anar?</x:v>
      </x:c>
      <x:c r="H72" s="14" t="str">
        <x:v>Aşağıdaki soruyu mümkün olduğunca kısa yanıtlayın. Yalnızca cevabı yazın; açıklama, gerekçe veya ek bilgi vermeyin. Cevabı bilmiyorsanız yalnızca “Bilmiyorum” yazın.
Soru: Mesir Macunu Festivali tarihsel olarak kimin iyileşmesini anar?
Cevap:</x:v>
      </x:c>
    </x:row>
    <x:row r="73" ht="55.5" customHeight="1">
      <x:c r="A73" s="14" t="str">
        <x:v>PILOT-M2-D034</x:v>
      </x:c>
      <x:c r="B73" s="14" t="str">
        <x:v>M2</x:v>
      </x:c>
      <x:c r="C73" s="14" t="str">
        <x:v>gpt-oss-120b</x:v>
      </x:c>
      <x:c r="D73" s="14" t="str">
        <x:v>D034</x:v>
      </x:c>
      <x:c r="E73" s="14" t="str">
        <x:v>F101</x:v>
      </x:c>
      <x:c r="F73" s="14" t="str">
        <x:v>prompt_tr_v0.1</x:v>
      </x:c>
      <x:c r="G73" s="14" t="str">
        <x:v>Türkiye'de güllaç geleneksel olarak hangi ay veya dönemle özdeşleşir?</x:v>
      </x:c>
      <x:c r="H73" s="14" t="str">
        <x:v>Aşağıdaki soruyu mümkün olduğunca kısa yanıtlayın. Yalnızca cevabı yazın; açıklama, gerekçe veya ek bilgi vermeyin. Cevabı bilmiyorsanız yalnızca “Bilmiyorum” yazın.
Soru: Türkiye'de güllaç geleneksel olarak hangi ay veya dönemle özdeşleşir?
Cevap:</x:v>
      </x:c>
    </x:row>
    <x:row r="74" ht="55.5" customHeight="1">
      <x:c r="A74" s="14" t="str">
        <x:v>PILOT-M2-D035</x:v>
      </x:c>
      <x:c r="B74" s="14" t="str">
        <x:v>M2</x:v>
      </x:c>
      <x:c r="C74" s="14" t="str">
        <x:v>gpt-oss-120b</x:v>
      </x:c>
      <x:c r="D74" s="14" t="str">
        <x:v>D035</x:v>
      </x:c>
      <x:c r="E74" s="14" t="str">
        <x:v>F010</x:v>
      </x:c>
      <x:c r="F74" s="14" t="str">
        <x:v>prompt_tr_v0.1</x:v>
      </x:c>
      <x:c r="G74" s="14" t="str">
        <x:v>Afyon Sucuğunda manda etinin asgari oranı yüzde kaçtır?</x:v>
      </x:c>
      <x:c r="H74" s="14" t="str">
        <x:v>Aşağıdaki soruyu mümkün olduğunca kısa yanıtlayın. Yalnızca cevabı yazın; açıklama, gerekçe veya ek bilgi vermeyin. Cevabı bilmiyorsanız yalnızca “Bilmiyorum” yazın.
Soru: Afyon Sucuğunda manda etinin asgari oranı yüzde kaçtır?
Cevap:</x:v>
      </x:c>
    </x:row>
    <x:row r="75" ht="55.5" customHeight="1">
      <x:c r="A75" s="14" t="str">
        <x:v>PILOT-M2-D036</x:v>
      </x:c>
      <x:c r="B75" s="14" t="str">
        <x:v>M2</x:v>
      </x:c>
      <x:c r="C75" s="14" t="str">
        <x:v>gpt-oss-120b</x:v>
      </x:c>
      <x:c r="D75" s="14" t="str">
        <x:v>D036</x:v>
      </x:c>
      <x:c r="E75" s="14" t="str">
        <x:v>F088</x:v>
      </x:c>
      <x:c r="F75" s="14" t="str">
        <x:v>prompt_tr_v0.1</x:v>
      </x:c>
      <x:c r="G75" s="14" t="str">
        <x:v>Törensel Keşkek hazırlığında buğday taş havanda kaç kişi tarafından dövülür?</x:v>
      </x:c>
      <x:c r="H75" s="14" t="str">
        <x:v>Aşağıdaki soruyu mümkün olduğunca kısa yanıtlayın. Yalnızca cevabı yazın; açıklama, gerekçe veya ek bilgi vermeyin. Cevabı bilmiyorsanız yalnızca “Bilmiyorum” yazın.
Soru: Törensel Keşkek hazırlığında buğday taş havanda kaç kişi tarafından dövülür?
Cevap: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f7d9593126d4c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8.130000114440918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8.130000114440918" hidden="0" customWidth="1"/>
    <x:col min="7" max="7" width="16.8799991607666" hidden="0" customWidth="1"/>
    <x:col min="8" max="8" width="33.130001068115234" hidden="0" customWidth="1"/>
    <x:col min="9" max="9" width="28.75" hidden="0" customWidth="1"/>
    <x:col min="10" max="10" width="26.25" hidden="0" customWidth="1"/>
    <x:col min="11" max="11" width="10.630000114440918" hidden="0" customWidth="1"/>
    <x:col min="12" max="12" width="11.880000114440918" hidden="0" customWidth="1"/>
    <x:col min="13" max="13" width="10.630000114440918" hidden="0" customWidth="1"/>
    <x:col min="14" max="14" width="20" hidden="0" customWidth="1"/>
    <x:col min="15" max="15" width="16.25" hidden="0" customWidth="1"/>
    <x:col min="16" max="16" width="32.5" hidden="0" customWidth="1"/>
    <x:col min="17" max="17" width="20.6299991607666" hidden="0" customWidth="1"/>
    <x:col min="18" max="18" width="20.6299991607666" hidden="0" customWidth="1"/>
    <x:col min="19" max="19" width="11.25" hidden="0" customWidth="1"/>
    <x:col min="20" max="20" width="10.630000114440918" hidden="0" customWidth="1"/>
    <x:col min="21" max="21" width="13.75" hidden="0" customWidth="1"/>
    <x:col min="22" max="22" width="13.75" hidden="0" customWidth="1"/>
  </x:cols>
  <x:sheetData>
    <x:row r="1" ht="28.5" customHeight="1">
      <x:c r="A1" s="3" t="str">
        <x:v>Pilot Responses and Conservative Scoring</x:v>
      </x:c>
      <x:c r="B1" s="3" t="str">
        <x:v>Pilot Responses and Conservative Scoring</x:v>
      </x:c>
      <x:c r="C1" s="3" t="str">
        <x:v>Pilot Responses and Conservative Scoring</x:v>
      </x:c>
      <x:c r="D1" s="3" t="str">
        <x:v>Pilot Responses and Conservative Scoring</x:v>
      </x:c>
      <x:c r="E1" s="3" t="str">
        <x:v>Pilot Responses and Conservative Scoring</x:v>
      </x:c>
      <x:c r="F1" s="3" t="str">
        <x:v>Pilot Responses and Conservative Scoring</x:v>
      </x:c>
      <x:c r="G1" s="3" t="str">
        <x:v>Pilot Responses and Conservative Scoring</x:v>
      </x:c>
      <x:c r="H1" s="3" t="str">
        <x:v>Pilot Responses and Conservative Scoring</x:v>
      </x:c>
      <x:c r="I1" s="3" t="str">
        <x:v>Pilot Responses and Conservative Scoring</x:v>
      </x:c>
      <x:c r="J1" s="3" t="str">
        <x:v>Pilot Responses and Conservative Scoring</x:v>
      </x:c>
      <x:c r="K1" s="3" t="str">
        <x:v>Pilot Responses and Conservative Scoring</x:v>
      </x:c>
      <x:c r="L1" s="3" t="str">
        <x:v>Pilot Responses and Conservative Scoring</x:v>
      </x:c>
      <x:c r="M1" s="3" t="str">
        <x:v>Pilot Responses and Conservative Scoring</x:v>
      </x:c>
      <x:c r="N1" s="3" t="str">
        <x:v>Pilot Responses and Conservative Scoring</x:v>
      </x:c>
      <x:c r="O1" s="3" t="str">
        <x:v>Pilot Responses and Conservative Scoring</x:v>
      </x:c>
      <x:c r="P1" s="3" t="str">
        <x:v>Pilot Responses and Conservative Scoring</x:v>
      </x:c>
      <x:c r="Q1" s="3" t="str">
        <x:v>Pilot Responses and Conservative Scoring</x:v>
      </x:c>
      <x:c r="R1" s="3" t="str">
        <x:v>Pilot Responses and Conservative Scoring</x:v>
      </x:c>
      <x:c r="S1" s="3" t="str">
        <x:v>Pilot Responses and Conservative Scoring</x:v>
      </x:c>
      <x:c r="T1" s="3" t="str">
        <x:v>Pilot Responses and Conservative Scoring</x:v>
      </x:c>
      <x:c r="U1" s="3" t="str">
        <x:v>Pilot Responses and Conservative Scoring</x:v>
      </x:c>
      <x:c r="V1" s="3" t="str">
        <x:v>Pilot Responses and Conservative Scoring</x:v>
      </x:c>
    </x:row>
    <x:row r="2">
      <x:c r="A2" s="28" t="str">
        <x:v>Import raw/scored records here. Yellow cells require human input. Do not overwrite raw_response or pre-registered accepted_answers.</x:v>
      </x:c>
      <x:c r="B2" s="28" t="str"/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  <x:c r="K2" s="28" t="str"/>
      <x:c r="L2" s="28" t="str"/>
      <x:c r="M2" s="28" t="str"/>
      <x:c r="N2" s="28" t="str"/>
      <x:c r="O2" s="28" t="str"/>
      <x:c r="P2" s="28" t="str"/>
      <x:c r="Q2" s="28" t="str"/>
      <x:c r="R2" s="28" t="str"/>
      <x:c r="S2" s="28" t="str"/>
      <x:c r="T2" s="28" t="str"/>
      <x:c r="U2" s="28" t="str"/>
      <x:c r="V2" s="28" t="str"/>
    </x:row>
    <x:row r="4">
      <x:c r="A4" s="19" t="str">
        <x:v>run_id</x:v>
      </x:c>
      <x:c r="B4" s="19" t="str">
        <x:v>model_slot</x:v>
      </x:c>
      <x:c r="C4" s="19" t="str">
        <x:v>requested_model_id</x:v>
      </x:c>
      <x:c r="D4" s="19" t="str">
        <x:v>returned_model_id</x:v>
      </x:c>
      <x:c r="E4" s="19" t="str">
        <x:v>request_id</x:v>
      </x:c>
      <x:c r="F4" s="19" t="str">
        <x:v>item_id</x:v>
      </x:c>
      <x:c r="G4" s="19" t="str">
        <x:v>gold_answer</x:v>
      </x:c>
      <x:c r="H4" s="19" t="str">
        <x:v>accepted_answers</x:v>
      </x:c>
      <x:c r="I4" s="19" t="str">
        <x:v>raw_response</x:v>
      </x:c>
      <x:c r="J4" s="19" t="str">
        <x:v>normalized_response</x:v>
      </x:c>
      <x:c r="K4" s="19" t="str">
        <x:v>auto_label</x:v>
      </x:c>
      <x:c r="L4" s="19" t="str">
        <x:v>manual_review</x:v>
      </x:c>
      <x:c r="M4" s="19" t="str">
        <x:v>final_label</x:v>
      </x:c>
      <x:c r="N4" s="19" t="str">
        <x:v>scoring_reason</x:v>
      </x:c>
      <x:c r="O4" s="19" t="str">
        <x:v>issue_type</x:v>
      </x:c>
      <x:c r="P4" s="19" t="str">
        <x:v>reviewer_note</x:v>
      </x:c>
      <x:c r="Q4" s="19" t="str">
        <x:v>started_at_utc</x:v>
      </x:c>
      <x:c r="R4" s="19" t="str">
        <x:v>finished_at_utc</x:v>
      </x:c>
      <x:c r="S4" s="19" t="str">
        <x:v>latency_ms</x:v>
      </x:c>
      <x:c r="T4" s="19" t="str">
        <x:v>status</x:v>
      </x:c>
      <x:c r="U4" s="19" t="str">
        <x:v>prompt_version</x:v>
      </x:c>
      <x:c r="V4" s="19" t="str">
        <x:v>scorer_version</x:v>
      </x:c>
    </x:row>
    <x:row r="5">
      <x:c r="A5" s="14" t="str">
        <x:v>PILOT-M1-D001</x:v>
      </x:c>
      <x:c r="B5" s="14" t="str">
        <x:v>M1</x:v>
      </x:c>
      <x:c r="C5" s="14" t="str">
        <x:v>gpt-5.5-2026-04-23</x:v>
      </x:c>
      <x:c r="D5" s="14" t="str"/>
      <x:c r="E5" s="14" t="str"/>
      <x:c r="F5" s="14" t="str">
        <x:v>D001</x:v>
      </x:c>
      <x:c r="G5" s="14" t="str">
        <x:v>Zırh</x:v>
      </x:c>
      <x:c r="H5" s="14" t="str">
        <x:v>zırh</x:v>
      </x:c>
      <x:c r="I5" s="15" t="str"/>
      <x:c r="J5" s="15" t="str"/>
      <x:c r="K5" s="15" t="str"/>
      <x:c r="L5" s="15" t="str"/>
      <x:c r="M5" s="15" t="str"/>
      <x:c r="N5" s="15" t="str"/>
      <x:c r="O5" s="15" t="str"/>
      <x:c r="P5" s="15" t="str"/>
      <x:c r="Q5" s="14" t="str"/>
      <x:c r="R5" s="14" t="str"/>
      <x:c r="S5" s="14" t="str"/>
      <x:c r="T5" s="14" t="str">
        <x:v>pending</x:v>
      </x:c>
      <x:c r="U5" s="14" t="str">
        <x:v>prompt_tr_v0.1</x:v>
      </x:c>
      <x:c r="V5" s="14" t="str">
        <x:v>scorer_tr_v0.1</x:v>
      </x:c>
    </x:row>
    <x:row r="6">
      <x:c r="A6" s="14" t="str">
        <x:v>PILOT-M1-D002</x:v>
      </x:c>
      <x:c r="B6" s="14" t="str">
        <x:v>M1</x:v>
      </x:c>
      <x:c r="C6" s="14" t="str">
        <x:v>gpt-5.5-2026-04-23</x:v>
      </x:c>
      <x:c r="D6" s="14" t="str"/>
      <x:c r="E6" s="14" t="str"/>
      <x:c r="F6" s="14" t="str">
        <x:v>D002</x:v>
      </x:c>
      <x:c r="G6" s="14" t="str">
        <x:v>Çığ</x:v>
      </x:c>
      <x:c r="H6" s="14" t="str">
        <x:v>çığ</x:v>
      </x:c>
      <x:c r="I6" s="15" t="str"/>
      <x:c r="J6" s="15" t="str"/>
      <x:c r="K6" s="15" t="str"/>
      <x:c r="L6" s="15" t="str"/>
      <x:c r="M6" s="15" t="str"/>
      <x:c r="N6" s="15" t="str"/>
      <x:c r="O6" s="15" t="str"/>
      <x:c r="P6" s="15" t="str"/>
      <x:c r="Q6" s="14" t="str"/>
      <x:c r="R6" s="14" t="str"/>
      <x:c r="S6" s="14" t="str"/>
      <x:c r="T6" s="14" t="str">
        <x:v>pending</x:v>
      </x:c>
      <x:c r="U6" s="14" t="str">
        <x:v>prompt_tr_v0.1</x:v>
      </x:c>
      <x:c r="V6" s="14" t="str">
        <x:v>scorer_tr_v0.1</x:v>
      </x:c>
    </x:row>
    <x:row r="7">
      <x:c r="A7" s="14" t="str">
        <x:v>PILOT-M1-D003</x:v>
      </x:c>
      <x:c r="B7" s="14" t="str">
        <x:v>M1</x:v>
      </x:c>
      <x:c r="C7" s="14" t="str">
        <x:v>gpt-5.5-2026-04-23</x:v>
      </x:c>
      <x:c r="D7" s="14" t="str"/>
      <x:c r="E7" s="14" t="str"/>
      <x:c r="F7" s="14" t="str">
        <x:v>D003</x:v>
      </x:c>
      <x:c r="G7" s="14" t="str">
        <x:v>Soğuk</x:v>
      </x:c>
      <x:c r="H7" s="14" t="str">
        <x:v>soğuk | soğuk su</x:v>
      </x:c>
      <x:c r="I7" s="15" t="str"/>
      <x:c r="J7" s="15" t="str"/>
      <x:c r="K7" s="15" t="str"/>
      <x:c r="L7" s="15" t="str"/>
      <x:c r="M7" s="15" t="str"/>
      <x:c r="N7" s="15" t="str"/>
      <x:c r="O7" s="15" t="str"/>
      <x:c r="P7" s="15" t="str"/>
      <x:c r="Q7" s="14" t="str"/>
      <x:c r="R7" s="14" t="str"/>
      <x:c r="S7" s="14" t="str"/>
      <x:c r="T7" s="14" t="str">
        <x:v>pending</x:v>
      </x:c>
      <x:c r="U7" s="14" t="str">
        <x:v>prompt_tr_v0.1</x:v>
      </x:c>
      <x:c r="V7" s="14" t="str">
        <x:v>scorer_tr_v0.1</x:v>
      </x:c>
    </x:row>
    <x:row r="8">
      <x:c r="A8" s="14" t="str">
        <x:v>PILOT-M1-D004</x:v>
      </x:c>
      <x:c r="B8" s="14" t="str">
        <x:v>M1</x:v>
      </x:c>
      <x:c r="C8" s="14" t="str">
        <x:v>gpt-5.5-2026-04-23</x:v>
      </x:c>
      <x:c r="D8" s="14" t="str"/>
      <x:c r="E8" s="14" t="str"/>
      <x:c r="F8" s="14" t="str">
        <x:v>D004</x:v>
      </x:c>
      <x:c r="G8" s="14" t="str">
        <x:v>Su</x:v>
      </x:c>
      <x:c r="H8" s="14" t="str">
        <x:v>su | bir bardak su</x:v>
      </x:c>
      <x:c r="I8" s="15" t="str"/>
      <x:c r="J8" s="15" t="str"/>
      <x:c r="K8" s="15" t="str"/>
      <x:c r="L8" s="15" t="str"/>
      <x:c r="M8" s="15" t="str"/>
      <x:c r="N8" s="15" t="str"/>
      <x:c r="O8" s="15" t="str"/>
      <x:c r="P8" s="15" t="str"/>
      <x:c r="Q8" s="14" t="str"/>
      <x:c r="R8" s="14" t="str"/>
      <x:c r="S8" s="14" t="str"/>
      <x:c r="T8" s="14" t="str">
        <x:v>pending</x:v>
      </x:c>
      <x:c r="U8" s="14" t="str">
        <x:v>prompt_tr_v0.1</x:v>
      </x:c>
      <x:c r="V8" s="14" t="str">
        <x:v>scorer_tr_v0.1</x:v>
      </x:c>
    </x:row>
    <x:row r="9">
      <x:c r="A9" s="14" t="str">
        <x:v>PILOT-M1-D005</x:v>
      </x:c>
      <x:c r="B9" s="14" t="str">
        <x:v>M1</x:v>
      </x:c>
      <x:c r="C9" s="14" t="str">
        <x:v>gpt-5.5-2026-04-23</x:v>
      </x:c>
      <x:c r="D9" s="14" t="str"/>
      <x:c r="E9" s="14" t="str"/>
      <x:c r="F9" s="14" t="str">
        <x:v>D005</x:v>
      </x:c>
      <x:c r="G9" s="14" t="str">
        <x:v>Tarator</x:v>
      </x:c>
      <x:c r="H9" s="14" t="str">
        <x:v>tarator | tarator sosu</x:v>
      </x:c>
      <x:c r="I9" s="15" t="str"/>
      <x:c r="J9" s="15" t="str"/>
      <x:c r="K9" s="15" t="str"/>
      <x:c r="L9" s="15" t="str"/>
      <x:c r="M9" s="15" t="str"/>
      <x:c r="N9" s="15" t="str"/>
      <x:c r="O9" s="15" t="str"/>
      <x:c r="P9" s="15" t="str"/>
      <x:c r="Q9" s="14" t="str"/>
      <x:c r="R9" s="14" t="str"/>
      <x:c r="S9" s="14" t="str"/>
      <x:c r="T9" s="14" t="str">
        <x:v>pending</x:v>
      </x:c>
      <x:c r="U9" s="14" t="str">
        <x:v>prompt_tr_v0.1</x:v>
      </x:c>
      <x:c r="V9" s="14" t="str">
        <x:v>scorer_tr_v0.1</x:v>
      </x:c>
    </x:row>
    <x:row r="10">
      <x:c r="A10" s="14" t="str">
        <x:v>PILOT-M1-D006</x:v>
      </x:c>
      <x:c r="B10" s="14" t="str">
        <x:v>M1</x:v>
      </x:c>
      <x:c r="C10" s="14" t="str">
        <x:v>gpt-5.5-2026-04-23</x:v>
      </x:c>
      <x:c r="D10" s="14" t="str"/>
      <x:c r="E10" s="14" t="str"/>
      <x:c r="F10" s="14" t="str">
        <x:v>D006</x:v>
      </x:c>
      <x:c r="G10" s="14" t="str">
        <x:v>Tokmak</x:v>
      </x:c>
      <x:c r="H10" s="14" t="str">
        <x:v>tokmak</x:v>
      </x:c>
      <x:c r="I10" s="15" t="str"/>
      <x:c r="J10" s="15" t="str"/>
      <x:c r="K10" s="15" t="str"/>
      <x:c r="L10" s="15" t="str"/>
      <x:c r="M10" s="15" t="str"/>
      <x:c r="N10" s="15" t="str"/>
      <x:c r="O10" s="15" t="str"/>
      <x:c r="P10" s="15" t="str"/>
      <x:c r="Q10" s="14" t="str"/>
      <x:c r="R10" s="14" t="str"/>
      <x:c r="S10" s="14" t="str"/>
      <x:c r="T10" s="14" t="str">
        <x:v>pending</x:v>
      </x:c>
      <x:c r="U10" s="14" t="str">
        <x:v>prompt_tr_v0.1</x:v>
      </x:c>
      <x:c r="V10" s="14" t="str">
        <x:v>scorer_tr_v0.1</x:v>
      </x:c>
    </x:row>
    <x:row r="11">
      <x:c r="A11" s="14" t="str">
        <x:v>PILOT-M1-D007</x:v>
      </x:c>
      <x:c r="B11" s="14" t="str">
        <x:v>M1</x:v>
      </x:c>
      <x:c r="C11" s="14" t="str">
        <x:v>gpt-5.5-2026-04-23</x:v>
      </x:c>
      <x:c r="D11" s="14" t="str"/>
      <x:c r="E11" s="14" t="str"/>
      <x:c r="F11" s="14" t="str">
        <x:v>D007</x:v>
      </x:c>
      <x:c r="G11" s="14" t="str">
        <x:v>Ceviz</x:v>
      </x:c>
      <x:c r="H11" s="14" t="str">
        <x:v>ceviz | ceviz içi</x:v>
      </x:c>
      <x:c r="I11" s="15" t="str"/>
      <x:c r="J11" s="15" t="str"/>
      <x:c r="K11" s="15" t="str"/>
      <x:c r="L11" s="15" t="str"/>
      <x:c r="M11" s="15" t="str"/>
      <x:c r="N11" s="15" t="str"/>
      <x:c r="O11" s="15" t="str"/>
      <x:c r="P11" s="15" t="str"/>
      <x:c r="Q11" s="14" t="str"/>
      <x:c r="R11" s="14" t="str"/>
      <x:c r="S11" s="14" t="str"/>
      <x:c r="T11" s="14" t="str">
        <x:v>pending</x:v>
      </x:c>
      <x:c r="U11" s="14" t="str">
        <x:v>prompt_tr_v0.1</x:v>
      </x:c>
      <x:c r="V11" s="14" t="str">
        <x:v>scorer_tr_v0.1</x:v>
      </x:c>
    </x:row>
    <x:row r="12">
      <x:c r="A12" s="14" t="str">
        <x:v>PILOT-M1-D008</x:v>
      </x:c>
      <x:c r="B12" s="14" t="str">
        <x:v>M1</x:v>
      </x:c>
      <x:c r="C12" s="14" t="str">
        <x:v>gpt-5.5-2026-04-23</x:v>
      </x:c>
      <x:c r="D12" s="14" t="str"/>
      <x:c r="E12" s="14" t="str"/>
      <x:c r="F12" s="14" t="str">
        <x:v>D008</x:v>
      </x:c>
      <x:c r="G12" s="14" t="str">
        <x:v>Badem</x:v>
      </x:c>
      <x:c r="H12" s="14" t="str">
        <x:v>badem | badem içi</x:v>
      </x:c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/>
      <x:c r="Q12" s="14" t="str"/>
      <x:c r="R12" s="14" t="str"/>
      <x:c r="S12" s="14" t="str"/>
      <x:c r="T12" s="14" t="str">
        <x:v>pending</x:v>
      </x:c>
      <x:c r="U12" s="14" t="str">
        <x:v>prompt_tr_v0.1</x:v>
      </x:c>
      <x:c r="V12" s="14" t="str">
        <x:v>scorer_tr_v0.1</x:v>
      </x:c>
    </x:row>
    <x:row r="13">
      <x:c r="A13" s="14" t="str">
        <x:v>PILOT-M1-D009</x:v>
      </x:c>
      <x:c r="B13" s="14" t="str">
        <x:v>M1</x:v>
      </x:c>
      <x:c r="C13" s="14" t="str">
        <x:v>gpt-5.5-2026-04-23</x:v>
      </x:c>
      <x:c r="D13" s="14" t="str"/>
      <x:c r="E13" s="14" t="str"/>
      <x:c r="F13" s="14" t="str">
        <x:v>D009</x:v>
      </x:c>
      <x:c r="G13" s="14" t="str">
        <x:v>Yoğurt ve dövme</x:v>
      </x:c>
      <x:c r="H13" s="14" t="str">
        <x:v>yoğurt ve dövme | yoğurt ve buğday yarması | yoğurt ile dövme | yoğurt ile buğday yarması</x:v>
      </x:c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/>
      <x:c r="Q13" s="14" t="str"/>
      <x:c r="R13" s="14" t="str"/>
      <x:c r="S13" s="14" t="str"/>
      <x:c r="T13" s="14" t="str">
        <x:v>pending</x:v>
      </x:c>
      <x:c r="U13" s="14" t="str">
        <x:v>prompt_tr_v0.1</x:v>
      </x:c>
      <x:c r="V13" s="14" t="str">
        <x:v>scorer_tr_v0.1</x:v>
      </x:c>
    </x:row>
    <x:row r="14">
      <x:c r="A14" s="14" t="str">
        <x:v>PILOT-M1-D010</x:v>
      </x:c>
      <x:c r="B14" s="14" t="str">
        <x:v>M1</x:v>
      </x:c>
      <x:c r="C14" s="14" t="str">
        <x:v>gpt-5.5-2026-04-23</x:v>
      </x:c>
      <x:c r="D14" s="14" t="str"/>
      <x:c r="E14" s="14" t="str"/>
      <x:c r="F14" s="14" t="str">
        <x:v>D010</x:v>
      </x:c>
      <x:c r="G14" s="14" t="str">
        <x:v>Armut biçimli bardak</x:v>
      </x:c>
      <x:c r="H14" s="14" t="str">
        <x:v>armut biçimli bardak | armut şeklinde bardak | armut biçimli bardaklar | armut şeklinde bardaklar</x:v>
      </x:c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/>
      <x:c r="Q14" s="14" t="str"/>
      <x:c r="R14" s="14" t="str"/>
      <x:c r="S14" s="14" t="str"/>
      <x:c r="T14" s="14" t="str">
        <x:v>pending</x:v>
      </x:c>
      <x:c r="U14" s="14" t="str">
        <x:v>prompt_tr_v0.1</x:v>
      </x:c>
      <x:c r="V14" s="14" t="str">
        <x:v>scorer_tr_v0.1</x:v>
      </x:c>
    </x:row>
    <x:row r="15">
      <x:c r="A15" s="14" t="str">
        <x:v>PILOT-M1-D011</x:v>
      </x:c>
      <x:c r="B15" s="14" t="str">
        <x:v>M1</x:v>
      </x:c>
      <x:c r="C15" s="14" t="str">
        <x:v>gpt-5.5-2026-04-23</x:v>
      </x:c>
      <x:c r="D15" s="14" t="str"/>
      <x:c r="E15" s="14" t="str"/>
      <x:c r="F15" s="14" t="str">
        <x:v>D011</x:v>
      </x:c>
      <x:c r="G15" s="14" t="str">
        <x:v>Çiftin komşularına</x:v>
      </x:c>
      <x:c r="H15" s="14" t="str">
        <x:v>çiftin komşularına | yeni evli çiftin komşularına | komşulara</x:v>
      </x:c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/>
      <x:c r="Q15" s="14" t="str"/>
      <x:c r="R15" s="14" t="str"/>
      <x:c r="S15" s="14" t="str"/>
      <x:c r="T15" s="14" t="str">
        <x:v>pending</x:v>
      </x:c>
      <x:c r="U15" s="14" t="str">
        <x:v>prompt_tr_v0.1</x:v>
      </x:c>
      <x:c r="V15" s="14" t="str">
        <x:v>scorer_tr_v0.1</x:v>
      </x:c>
    </x:row>
    <x:row r="16">
      <x:c r="A16" s="14" t="str">
        <x:v>PILOT-M1-D012</x:v>
      </x:c>
      <x:c r="B16" s="14" t="str">
        <x:v>M1</x:v>
      </x:c>
      <x:c r="C16" s="14" t="str">
        <x:v>gpt-5.5-2026-04-23</x:v>
      </x:c>
      <x:c r="D16" s="14" t="str"/>
      <x:c r="E16" s="14" t="str"/>
      <x:c r="F16" s="14" t="str">
        <x:v>D012</x:v>
      </x:c>
      <x:c r="G16" s="14" t="str">
        <x:v>Davul ve zurna</x:v>
      </x:c>
      <x:c r="H16" s="14" t="str">
        <x:v>davul ve zurna | zurna ve davul</x:v>
      </x:c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/>
      <x:c r="Q16" s="14" t="str"/>
      <x:c r="R16" s="14" t="str"/>
      <x:c r="S16" s="14" t="str"/>
      <x:c r="T16" s="14" t="str">
        <x:v>pending</x:v>
      </x:c>
      <x:c r="U16" s="14" t="str">
        <x:v>prompt_tr_v0.1</x:v>
      </x:c>
      <x:c r="V16" s="14" t="str">
        <x:v>scorer_tr_v0.1</x:v>
      </x:c>
    </x:row>
    <x:row r="17">
      <x:c r="A17" s="14" t="str">
        <x:v>PILOT-M1-D013</x:v>
      </x:c>
      <x:c r="B17" s="14" t="str">
        <x:v>M1</x:v>
      </x:c>
      <x:c r="C17" s="14" t="str">
        <x:v>gpt-5.5-2026-04-23</x:v>
      </x:c>
      <x:c r="D17" s="14" t="str"/>
      <x:c r="E17" s="14" t="str"/>
      <x:c r="F17" s="14" t="str">
        <x:v>D013</x:v>
      </x:c>
      <x:c r="G17" s="14" t="str">
        <x:v>Bolluk ve bereket</x:v>
      </x:c>
      <x:c r="H17" s="14" t="str">
        <x:v>bolluk ve bereket | bereket ve bolluk</x:v>
      </x:c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/>
      <x:c r="Q17" s="14" t="str"/>
      <x:c r="R17" s="14" t="str"/>
      <x:c r="S17" s="14" t="str"/>
      <x:c r="T17" s="14" t="str">
        <x:v>pending</x:v>
      </x:c>
      <x:c r="U17" s="14" t="str">
        <x:v>prompt_tr_v0.1</x:v>
      </x:c>
      <x:c r="V17" s="14" t="str">
        <x:v>scorer_tr_v0.1</x:v>
      </x:c>
    </x:row>
    <x:row r="18">
      <x:c r="A18" s="14" t="str">
        <x:v>PILOT-M1-D014</x:v>
      </x:c>
      <x:c r="B18" s="14" t="str">
        <x:v>M1</x:v>
      </x:c>
      <x:c r="C18" s="14" t="str">
        <x:v>gpt-5.5-2026-04-23</x:v>
      </x:c>
      <x:c r="D18" s="14" t="str"/>
      <x:c r="E18" s="14" t="str"/>
      <x:c r="F18" s="14" t="str">
        <x:v>D014</x:v>
      </x:c>
      <x:c r="G18" s="14" t="str">
        <x:v>Hasta ve yaşlılar</x:v>
      </x:c>
      <x:c r="H18" s="14" t="str">
        <x:v>hasta ve yaşlılar | yaşlı ve hastalar | hastalara ve yaşlılara | yaşlılara ve hastalara</x:v>
      </x:c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/>
      <x:c r="Q18" s="14" t="str"/>
      <x:c r="R18" s="14" t="str"/>
      <x:c r="S18" s="14" t="str"/>
      <x:c r="T18" s="14" t="str">
        <x:v>pending</x:v>
      </x:c>
      <x:c r="U18" s="14" t="str">
        <x:v>prompt_tr_v0.1</x:v>
      </x:c>
      <x:c r="V18" s="14" t="str">
        <x:v>scorer_tr_v0.1</x:v>
      </x:c>
    </x:row>
    <x:row r="19">
      <x:c r="A19" s="14" t="str">
        <x:v>PILOT-M1-D015</x:v>
      </x:c>
      <x:c r="B19" s="14" t="str">
        <x:v>M1</x:v>
      </x:c>
      <x:c r="C19" s="14" t="str">
        <x:v>gpt-5.5-2026-04-23</x:v>
      </x:c>
      <x:c r="D19" s="14" t="str"/>
      <x:c r="E19" s="14" t="str"/>
      <x:c r="F19" s="14" t="str">
        <x:v>D015</x:v>
      </x:c>
      <x:c r="G19" s="14" t="str">
        <x:v>Humus Tası</x:v>
      </x:c>
      <x:c r="H19" s="14" t="str">
        <x:v>humus tası | humus tasi</x:v>
      </x:c>
      <x:c r="I19" s="15" t="str"/>
      <x:c r="J19" s="15" t="str"/>
      <x:c r="K19" s="15" t="str"/>
      <x:c r="L19" s="15" t="str"/>
      <x:c r="M19" s="15" t="str"/>
      <x:c r="N19" s="15" t="str"/>
      <x:c r="O19" s="15" t="str"/>
      <x:c r="P19" s="15" t="str"/>
      <x:c r="Q19" s="14" t="str"/>
      <x:c r="R19" s="14" t="str"/>
      <x:c r="S19" s="14" t="str"/>
      <x:c r="T19" s="14" t="str">
        <x:v>pending</x:v>
      </x:c>
      <x:c r="U19" s="14" t="str">
        <x:v>prompt_tr_v0.1</x:v>
      </x:c>
      <x:c r="V19" s="14" t="str">
        <x:v>scorer_tr_v0.1</x:v>
      </x:c>
    </x:row>
    <x:row r="20">
      <x:c r="A20" s="14" t="str">
        <x:v>PILOT-M1-D016</x:v>
      </x:c>
      <x:c r="B20" s="14" t="str">
        <x:v>M1</x:v>
      </x:c>
      <x:c r="C20" s="14" t="str">
        <x:v>gpt-5.5-2026-04-23</x:v>
      </x:c>
      <x:c r="D20" s="14" t="str"/>
      <x:c r="E20" s="14" t="str"/>
      <x:c r="F20" s="14" t="str">
        <x:v>D016</x:v>
      </x:c>
      <x:c r="G20" s="14" t="str">
        <x:v>Lokma dökmek</x:v>
      </x:c>
      <x:c r="H20" s="14" t="str">
        <x:v>lokma dökmek | lokma döktürmek</x:v>
      </x:c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/>
      <x:c r="Q20" s="14" t="str"/>
      <x:c r="R20" s="14" t="str"/>
      <x:c r="S20" s="14" t="str"/>
      <x:c r="T20" s="14" t="str">
        <x:v>pending</x:v>
      </x:c>
      <x:c r="U20" s="14" t="str">
        <x:v>prompt_tr_v0.1</x:v>
      </x:c>
      <x:c r="V20" s="14" t="str">
        <x:v>scorer_tr_v0.1</x:v>
      </x:c>
    </x:row>
    <x:row r="21">
      <x:c r="A21" s="14" t="str">
        <x:v>PILOT-M1-D017</x:v>
      </x:c>
      <x:c r="B21" s="14" t="str">
        <x:v>M1</x:v>
      </x:c>
      <x:c r="C21" s="14" t="str">
        <x:v>gpt-5.5-2026-04-23</x:v>
      </x:c>
      <x:c r="D21" s="14" t="str"/>
      <x:c r="E21" s="14" t="str"/>
      <x:c r="F21" s="14" t="str">
        <x:v>D017</x:v>
      </x:c>
      <x:c r="G21" s="14" t="str">
        <x:v>Gömlek</x:v>
      </x:c>
      <x:c r="H21" s="14" t="str">
        <x:v>gömlek | çember</x:v>
      </x:c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/>
      <x:c r="Q21" s="14" t="str"/>
      <x:c r="R21" s="14" t="str"/>
      <x:c r="S21" s="14" t="str"/>
      <x:c r="T21" s="14" t="str">
        <x:v>pending</x:v>
      </x:c>
      <x:c r="U21" s="14" t="str">
        <x:v>prompt_tr_v0.1</x:v>
      </x:c>
      <x:c r="V21" s="14" t="str">
        <x:v>scorer_tr_v0.1</x:v>
      </x:c>
    </x:row>
    <x:row r="22">
      <x:c r="A22" s="14" t="str">
        <x:v>PILOT-M1-D018</x:v>
      </x:c>
      <x:c r="B22" s="14" t="str">
        <x:v>M1</x:v>
      </x:c>
      <x:c r="C22" s="14" t="str">
        <x:v>gpt-5.5-2026-04-23</x:v>
      </x:c>
      <x:c r="D22" s="14" t="str"/>
      <x:c r="E22" s="14" t="str"/>
      <x:c r="F22" s="14" t="str">
        <x:v>D018</x:v>
      </x:c>
      <x:c r="G22" s="14" t="str">
        <x:v>Cücük</x:v>
      </x:c>
      <x:c r="H22" s="14" t="str">
        <x:v>cücük</x:v>
      </x:c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/>
      <x:c r="Q22" s="14" t="str"/>
      <x:c r="R22" s="14" t="str"/>
      <x:c r="S22" s="14" t="str"/>
      <x:c r="T22" s="14" t="str">
        <x:v>pending</x:v>
      </x:c>
      <x:c r="U22" s="14" t="str">
        <x:v>prompt_tr_v0.1</x:v>
      </x:c>
      <x:c r="V22" s="14" t="str">
        <x:v>scorer_tr_v0.1</x:v>
      </x:c>
    </x:row>
    <x:row r="23">
      <x:c r="A23" s="14" t="str">
        <x:v>PILOT-M1-D019</x:v>
      </x:c>
      <x:c r="B23" s="14" t="str">
        <x:v>M1</x:v>
      </x:c>
      <x:c r="C23" s="14" t="str">
        <x:v>gpt-5.5-2026-04-23</x:v>
      </x:c>
      <x:c r="D23" s="14" t="str"/>
      <x:c r="E23" s="14" t="str"/>
      <x:c r="F23" s="14" t="str">
        <x:v>D019</x:v>
      </x:c>
      <x:c r="G23" s="14" t="str">
        <x:v>Mamaliga</x:v>
      </x:c>
      <x:c r="H23" s="14" t="str">
        <x:v>mamaliga</x:v>
      </x:c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/>
      <x:c r="Q23" s="14" t="str"/>
      <x:c r="R23" s="14" t="str"/>
      <x:c r="S23" s="14" t="str"/>
      <x:c r="T23" s="14" t="str">
        <x:v>pending</x:v>
      </x:c>
      <x:c r="U23" s="14" t="str">
        <x:v>prompt_tr_v0.1</x:v>
      </x:c>
      <x:c r="V23" s="14" t="str">
        <x:v>scorer_tr_v0.1</x:v>
      </x:c>
    </x:row>
    <x:row r="24">
      <x:c r="A24" s="14" t="str">
        <x:v>PILOT-M1-D020</x:v>
      </x:c>
      <x:c r="B24" s="14" t="str">
        <x:v>M1</x:v>
      </x:c>
      <x:c r="C24" s="14" t="str">
        <x:v>gpt-5.5-2026-04-23</x:v>
      </x:c>
      <x:c r="D24" s="14" t="str"/>
      <x:c r="E24" s="14" t="str"/>
      <x:c r="F24" s="14" t="str">
        <x:v>D020</x:v>
      </x:c>
      <x:c r="G24" s="14" t="str">
        <x:v>Takım</x:v>
      </x:c>
      <x:c r="H24" s="14" t="str">
        <x:v>takım</x:v>
      </x:c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/>
      <x:c r="Q24" s="14" t="str"/>
      <x:c r="R24" s="14" t="str"/>
      <x:c r="S24" s="14" t="str"/>
      <x:c r="T24" s="14" t="str">
        <x:v>pending</x:v>
      </x:c>
      <x:c r="U24" s="14" t="str">
        <x:v>prompt_tr_v0.1</x:v>
      </x:c>
      <x:c r="V24" s="14" t="str">
        <x:v>scorer_tr_v0.1</x:v>
      </x:c>
    </x:row>
    <x:row r="25">
      <x:c r="A25" s="14" t="str">
        <x:v>PILOT-M1-D021</x:v>
      </x:c>
      <x:c r="B25" s="14" t="str">
        <x:v>M1</x:v>
      </x:c>
      <x:c r="C25" s="14" t="str">
        <x:v>gpt-5.5-2026-04-23</x:v>
      </x:c>
      <x:c r="D25" s="14" t="str"/>
      <x:c r="E25" s="14" t="str"/>
      <x:c r="F25" s="14" t="str">
        <x:v>D021</x:v>
      </x:c>
      <x:c r="G25" s="14" t="str">
        <x:v>Zinardı daveti</x:v>
      </x:c>
      <x:c r="H25" s="14" t="str">
        <x:v>zinardı daveti | zinardı | sini ardı daveti | sini ardı</x:v>
      </x:c>
      <x:c r="I25" s="15" t="str"/>
      <x:c r="J25" s="15" t="str"/>
      <x:c r="K25" s="15" t="str"/>
      <x:c r="L25" s="15" t="str"/>
      <x:c r="M25" s="15" t="str"/>
      <x:c r="N25" s="15" t="str"/>
      <x:c r="O25" s="15" t="str"/>
      <x:c r="P25" s="15" t="str"/>
      <x:c r="Q25" s="14" t="str"/>
      <x:c r="R25" s="14" t="str"/>
      <x:c r="S25" s="14" t="str"/>
      <x:c r="T25" s="14" t="str">
        <x:v>pending</x:v>
      </x:c>
      <x:c r="U25" s="14" t="str">
        <x:v>prompt_tr_v0.1</x:v>
      </x:c>
      <x:c r="V25" s="14" t="str">
        <x:v>scorer_tr_v0.1</x:v>
      </x:c>
    </x:row>
    <x:row r="26">
      <x:c r="A26" s="14" t="str">
        <x:v>PILOT-M1-D022</x:v>
      </x:c>
      <x:c r="B26" s="14" t="str">
        <x:v>M1</x:v>
      </x:c>
      <x:c r="C26" s="14" t="str">
        <x:v>gpt-5.5-2026-04-23</x:v>
      </x:c>
      <x:c r="D26" s="14" t="str"/>
      <x:c r="E26" s="14" t="str"/>
      <x:c r="F26" s="14" t="str">
        <x:v>D022</x:v>
      </x:c>
      <x:c r="G26" s="14" t="str">
        <x:v>Yemek kurtarma</x:v>
      </x:c>
      <x:c r="H26" s="14" t="str">
        <x:v>yemek kurtarma</x:v>
      </x:c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/>
      <x:c r="Q26" s="14" t="str"/>
      <x:c r="R26" s="14" t="str"/>
      <x:c r="S26" s="14" t="str"/>
      <x:c r="T26" s="14" t="str">
        <x:v>pending</x:v>
      </x:c>
      <x:c r="U26" s="14" t="str">
        <x:v>prompt_tr_v0.1</x:v>
      </x:c>
      <x:c r="V26" s="14" t="str">
        <x:v>scorer_tr_v0.1</x:v>
      </x:c>
    </x:row>
    <x:row r="27">
      <x:c r="A27" s="14" t="str">
        <x:v>PILOT-M1-D023</x:v>
      </x:c>
      <x:c r="B27" s="14" t="str">
        <x:v>M1</x:v>
      </x:c>
      <x:c r="C27" s="14" t="str">
        <x:v>gpt-5.5-2026-04-23</x:v>
      </x:c>
      <x:c r="D27" s="14" t="str"/>
      <x:c r="E27" s="14" t="str"/>
      <x:c r="F27" s="14" t="str">
        <x:v>D023</x:v>
      </x:c>
      <x:c r="G27" s="14" t="str">
        <x:v>Kaymak</x:v>
      </x:c>
      <x:c r="H27" s="14" t="str">
        <x:v>kaymak</x:v>
      </x:c>
      <x:c r="I27" s="15" t="str"/>
      <x:c r="J27" s="15" t="str"/>
      <x:c r="K27" s="15" t="str"/>
      <x:c r="L27" s="15" t="str"/>
      <x:c r="M27" s="15" t="str"/>
      <x:c r="N27" s="15" t="str"/>
      <x:c r="O27" s="15" t="str"/>
      <x:c r="P27" s="15" t="str"/>
      <x:c r="Q27" s="14" t="str"/>
      <x:c r="R27" s="14" t="str"/>
      <x:c r="S27" s="14" t="str"/>
      <x:c r="T27" s="14" t="str">
        <x:v>pending</x:v>
      </x:c>
      <x:c r="U27" s="14" t="str">
        <x:v>prompt_tr_v0.1</x:v>
      </x:c>
      <x:c r="V27" s="14" t="str">
        <x:v>scorer_tr_v0.1</x:v>
      </x:c>
    </x:row>
    <x:row r="28">
      <x:c r="A28" s="14" t="str">
        <x:v>PILOT-M1-D024</x:v>
      </x:c>
      <x:c r="B28" s="14" t="str">
        <x:v>M1</x:v>
      </x:c>
      <x:c r="C28" s="14" t="str">
        <x:v>gpt-5.5-2026-04-23</x:v>
      </x:c>
      <x:c r="D28" s="14" t="str"/>
      <x:c r="E28" s="14" t="str"/>
      <x:c r="F28" s="14" t="str">
        <x:v>D024</x:v>
      </x:c>
      <x:c r="G28" s="14" t="str">
        <x:v>Pişirme ve soğutma sonrasında</x:v>
      </x:c>
      <x:c r="H28" s="14" t="str">
        <x:v>pişirme ve soğutma sonrasında | pişirmeden ve soğutmadan sonra | dövme pişirilip soğutulduktan sonra | pişmiş dövme soğutulduktan sonra</x:v>
      </x:c>
      <x:c r="I28" s="15" t="str"/>
      <x:c r="J28" s="15" t="str"/>
      <x:c r="K28" s="15" t="str"/>
      <x:c r="L28" s="15" t="str"/>
      <x:c r="M28" s="15" t="str"/>
      <x:c r="N28" s="15" t="str"/>
      <x:c r="O28" s="15" t="str"/>
      <x:c r="P28" s="15" t="str"/>
      <x:c r="Q28" s="14" t="str"/>
      <x:c r="R28" s="14" t="str"/>
      <x:c r="S28" s="14" t="str"/>
      <x:c r="T28" s="14" t="str">
        <x:v>pending</x:v>
      </x:c>
      <x:c r="U28" s="14" t="str">
        <x:v>prompt_tr_v0.1</x:v>
      </x:c>
      <x:c r="V28" s="14" t="str">
        <x:v>scorer_tr_v0.1</x:v>
      </x:c>
    </x:row>
    <x:row r="29">
      <x:c r="A29" s="14" t="str">
        <x:v>PILOT-M1-D025</x:v>
      </x:c>
      <x:c r="B29" s="14" t="str">
        <x:v>M1</x:v>
      </x:c>
      <x:c r="C29" s="14" t="str">
        <x:v>gpt-5.5-2026-04-23</x:v>
      </x:c>
      <x:c r="D29" s="14" t="str"/>
      <x:c r="E29" s="14" t="str"/>
      <x:c r="F29" s="14" t="str">
        <x:v>D025</x:v>
      </x:c>
      <x:c r="G29" s="14" t="str">
        <x:v>Sığır bağırsağı</x:v>
      </x:c>
      <x:c r="H29" s="14" t="str">
        <x:v>sığır bağırsağı | sığır bağırsağına</x:v>
      </x:c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/>
      <x:c r="Q29" s="14" t="str"/>
      <x:c r="R29" s="14" t="str"/>
      <x:c r="S29" s="14" t="str"/>
      <x:c r="T29" s="14" t="str">
        <x:v>pending</x:v>
      </x:c>
      <x:c r="U29" s="14" t="str">
        <x:v>prompt_tr_v0.1</x:v>
      </x:c>
      <x:c r="V29" s="14" t="str">
        <x:v>scorer_tr_v0.1</x:v>
      </x:c>
    </x:row>
    <x:row r="30">
      <x:c r="A30" s="14" t="str">
        <x:v>PILOT-M1-D026</x:v>
      </x:c>
      <x:c r="B30" s="14" t="str">
        <x:v>M1</x:v>
      </x:c>
      <x:c r="C30" s="14" t="str">
        <x:v>gpt-5.5-2026-04-23</x:v>
      </x:c>
      <x:c r="D30" s="14" t="str"/>
      <x:c r="E30" s="14" t="str"/>
      <x:c r="F30" s="14" t="str">
        <x:v>D026</x:v>
      </x:c>
      <x:c r="G30" s="14" t="str">
        <x:v>Meşe odunu</x:v>
      </x:c>
      <x:c r="H30" s="14" t="str">
        <x:v>meşe odunu | meşe</x:v>
      </x:c>
      <x:c r="I30" s="15" t="str"/>
      <x:c r="J30" s="15" t="str"/>
      <x:c r="K30" s="15" t="str"/>
      <x:c r="L30" s="15" t="str"/>
      <x:c r="M30" s="15" t="str"/>
      <x:c r="N30" s="15" t="str"/>
      <x:c r="O30" s="15" t="str"/>
      <x:c r="P30" s="15" t="str"/>
      <x:c r="Q30" s="14" t="str"/>
      <x:c r="R30" s="14" t="str"/>
      <x:c r="S30" s="14" t="str"/>
      <x:c r="T30" s="14" t="str">
        <x:v>pending</x:v>
      </x:c>
      <x:c r="U30" s="14" t="str">
        <x:v>prompt_tr_v0.1</x:v>
      </x:c>
      <x:c r="V30" s="14" t="str">
        <x:v>scorer_tr_v0.1</x:v>
      </x:c>
    </x:row>
    <x:row r="31">
      <x:c r="A31" s="14" t="str">
        <x:v>PILOT-M1-D027</x:v>
      </x:c>
      <x:c r="B31" s="14" t="str">
        <x:v>M1</x:v>
      </x:c>
      <x:c r="C31" s="14" t="str">
        <x:v>gpt-5.5-2026-04-23</x:v>
      </x:c>
      <x:c r="D31" s="14" t="str"/>
      <x:c r="E31" s="14" t="str"/>
      <x:c r="F31" s="14" t="str">
        <x:v>D027</x:v>
      </x:c>
      <x:c r="G31" s="14" t="str">
        <x:v>Fındık kabuğu</x:v>
      </x:c>
      <x:c r="H31" s="14" t="str">
        <x:v>fındık kabuğu | fındık kabuğu ateşi | fındık kabuğu ateşinde</x:v>
      </x:c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/>
      <x:c r="Q31" s="14" t="str"/>
      <x:c r="R31" s="14" t="str"/>
      <x:c r="S31" s="14" t="str"/>
      <x:c r="T31" s="14" t="str">
        <x:v>pending</x:v>
      </x:c>
      <x:c r="U31" s="14" t="str">
        <x:v>prompt_tr_v0.1</x:v>
      </x:c>
      <x:c r="V31" s="14" t="str">
        <x:v>scorer_tr_v0.1</x:v>
      </x:c>
    </x:row>
    <x:row r="32">
      <x:c r="A32" s="14" t="str">
        <x:v>PILOT-M1-D028</x:v>
      </x:c>
      <x:c r="B32" s="14" t="str">
        <x:v>M1</x:v>
      </x:c>
      <x:c r="C32" s="14" t="str">
        <x:v>gpt-5.5-2026-04-23</x:v>
      </x:c>
      <x:c r="D32" s="14" t="str"/>
      <x:c r="E32" s="14" t="str"/>
      <x:c r="F32" s="14" t="str">
        <x:v>D028</x:v>
      </x:c>
      <x:c r="G32" s="14" t="str">
        <x:v>Çöven</x:v>
      </x:c>
      <x:c r="H32" s="14" t="str">
        <x:v>çöven | çöğen</x:v>
      </x:c>
      <x:c r="I32" s="15" t="str"/>
      <x:c r="J32" s="15" t="str"/>
      <x:c r="K32" s="15" t="str"/>
      <x:c r="L32" s="15" t="str"/>
      <x:c r="M32" s="15" t="str"/>
      <x:c r="N32" s="15" t="str"/>
      <x:c r="O32" s="15" t="str"/>
      <x:c r="P32" s="15" t="str"/>
      <x:c r="Q32" s="14" t="str"/>
      <x:c r="R32" s="14" t="str"/>
      <x:c r="S32" s="14" t="str"/>
      <x:c r="T32" s="14" t="str">
        <x:v>pending</x:v>
      </x:c>
      <x:c r="U32" s="14" t="str">
        <x:v>prompt_tr_v0.1</x:v>
      </x:c>
      <x:c r="V32" s="14" t="str">
        <x:v>scorer_tr_v0.1</x:v>
      </x:c>
    </x:row>
    <x:row r="33">
      <x:c r="A33" s="14" t="str">
        <x:v>PILOT-M1-D029</x:v>
      </x:c>
      <x:c r="B33" s="14" t="str">
        <x:v>M1</x:v>
      </x:c>
      <x:c r="C33" s="14" t="str">
        <x:v>gpt-5.5-2026-04-23</x:v>
      </x:c>
      <x:c r="D33" s="14" t="str"/>
      <x:c r="E33" s="14" t="str"/>
      <x:c r="F33" s="14" t="str">
        <x:v>D029</x:v>
      </x:c>
      <x:c r="G33" s="14" t="str">
        <x:v>Fal bakmak</x:v>
      </x:c>
      <x:c r="H33" s="14" t="str">
        <x:v>fal bakmak | kahve falı | kahve falı bakmak | falcılık</x:v>
      </x:c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/>
      <x:c r="Q33" s="14" t="str"/>
      <x:c r="R33" s="14" t="str"/>
      <x:c r="S33" s="14" t="str"/>
      <x:c r="T33" s="14" t="str">
        <x:v>pending</x:v>
      </x:c>
      <x:c r="U33" s="14" t="str">
        <x:v>prompt_tr_v0.1</x:v>
      </x:c>
      <x:c r="V33" s="14" t="str">
        <x:v>scorer_tr_v0.1</x:v>
      </x:c>
    </x:row>
    <x:row r="34">
      <x:c r="A34" s="14" t="str">
        <x:v>PILOT-M1-D030</x:v>
      </x:c>
      <x:c r="B34" s="14" t="str">
        <x:v>M1</x:v>
      </x:c>
      <x:c r="C34" s="14" t="str">
        <x:v>gpt-5.5-2026-04-23</x:v>
      </x:c>
      <x:c r="D34" s="14" t="str"/>
      <x:c r="E34" s="14" t="str"/>
      <x:c r="F34" s="14" t="str">
        <x:v>D030</x:v>
      </x:c>
      <x:c r="G34" s="14" t="str">
        <x:v>Azerbaycan</x:v>
      </x:c>
      <x:c r="H34" s="14" t="str">
        <x:v>azerbaycan | azerbaijan</x:v>
      </x:c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/>
      <x:c r="Q34" s="14" t="str"/>
      <x:c r="R34" s="14" t="str"/>
      <x:c r="S34" s="14" t="str"/>
      <x:c r="T34" s="14" t="str">
        <x:v>pending</x:v>
      </x:c>
      <x:c r="U34" s="14" t="str">
        <x:v>prompt_tr_v0.1</x:v>
      </x:c>
      <x:c r="V34" s="14" t="str">
        <x:v>scorer_tr_v0.1</x:v>
      </x:c>
    </x:row>
    <x:row r="35">
      <x:c r="A35" s="14" t="str">
        <x:v>PILOT-M1-D031</x:v>
      </x:c>
      <x:c r="B35" s="14" t="str">
        <x:v>M1</x:v>
      </x:c>
      <x:c r="C35" s="14" t="str">
        <x:v>gpt-5.5-2026-04-23</x:v>
      </x:c>
      <x:c r="D35" s="14" t="str"/>
      <x:c r="E35" s="14" t="str"/>
      <x:c r="F35" s="14" t="str">
        <x:v>D031</x:v>
      </x:c>
      <x:c r="G35" s="14" t="str">
        <x:v>Usta-çırak</x:v>
      </x:c>
      <x:c r="H35" s="14" t="str">
        <x:v>usta-çırak | usta çırak | ustadan çırağa | usta-çırak ilişkisi</x:v>
      </x:c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/>
      <x:c r="Q35" s="14" t="str"/>
      <x:c r="R35" s="14" t="str"/>
      <x:c r="S35" s="14" t="str"/>
      <x:c r="T35" s="14" t="str">
        <x:v>pending</x:v>
      </x:c>
      <x:c r="U35" s="14" t="str">
        <x:v>prompt_tr_v0.1</x:v>
      </x:c>
      <x:c r="V35" s="14" t="str">
        <x:v>scorer_tr_v0.1</x:v>
      </x:c>
    </x:row>
    <x:row r="36">
      <x:c r="A36" s="14" t="str">
        <x:v>PILOT-M1-D032</x:v>
      </x:c>
      <x:c r="B36" s="14" t="str">
        <x:v>M1</x:v>
      </x:c>
      <x:c r="C36" s="14" t="str">
        <x:v>gpt-5.5-2026-04-23</x:v>
      </x:c>
      <x:c r="D36" s="14" t="str"/>
      <x:c r="E36" s="14" t="str"/>
      <x:c r="F36" s="14" t="str">
        <x:v>D032</x:v>
      </x:c>
      <x:c r="G36" s="14" t="str">
        <x:v>Dua</x:v>
      </x:c>
      <x:c r="H36" s="14" t="str">
        <x:v>dua | dualar | dua ederek | dualarla</x:v>
      </x:c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/>
      <x:c r="Q36" s="14" t="str"/>
      <x:c r="R36" s="14" t="str"/>
      <x:c r="S36" s="14" t="str"/>
      <x:c r="T36" s="14" t="str">
        <x:v>pending</x:v>
      </x:c>
      <x:c r="U36" s="14" t="str">
        <x:v>prompt_tr_v0.1</x:v>
      </x:c>
      <x:c r="V36" s="14" t="str">
        <x:v>scorer_tr_v0.1</x:v>
      </x:c>
    </x:row>
    <x:row r="37">
      <x:c r="A37" s="14" t="str">
        <x:v>PILOT-M1-D033</x:v>
      </x:c>
      <x:c r="B37" s="14" t="str">
        <x:v>M1</x:v>
      </x:c>
      <x:c r="C37" s="14" t="str">
        <x:v>gpt-5.5-2026-04-23</x:v>
      </x:c>
      <x:c r="D37" s="14" t="str"/>
      <x:c r="E37" s="14" t="str"/>
      <x:c r="F37" s="14" t="str">
        <x:v>D033</x:v>
      </x:c>
      <x:c r="G37" s="14" t="str">
        <x:v>Hafsa Sultan</x:v>
      </x:c>
      <x:c r="H37" s="14" t="str">
        <x:v>hafsa sultan | ayşe hafsa sultan</x:v>
      </x:c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/>
      <x:c r="Q37" s="14" t="str"/>
      <x:c r="R37" s="14" t="str"/>
      <x:c r="S37" s="14" t="str"/>
      <x:c r="T37" s="14" t="str">
        <x:v>pending</x:v>
      </x:c>
      <x:c r="U37" s="14" t="str">
        <x:v>prompt_tr_v0.1</x:v>
      </x:c>
      <x:c r="V37" s="14" t="str">
        <x:v>scorer_tr_v0.1</x:v>
      </x:c>
    </x:row>
    <x:row r="38">
      <x:c r="A38" s="14" t="str">
        <x:v>PILOT-M1-D034</x:v>
      </x:c>
      <x:c r="B38" s="14" t="str">
        <x:v>M1</x:v>
      </x:c>
      <x:c r="C38" s="14" t="str">
        <x:v>gpt-5.5-2026-04-23</x:v>
      </x:c>
      <x:c r="D38" s="14" t="str"/>
      <x:c r="E38" s="14" t="str"/>
      <x:c r="F38" s="14" t="str">
        <x:v>D034</x:v>
      </x:c>
      <x:c r="G38" s="14" t="str">
        <x:v>Ramazan</x:v>
      </x:c>
      <x:c r="H38" s="14" t="str">
        <x:v>ramazan | ramazan ayı</x:v>
      </x:c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/>
      <x:c r="Q38" s="14" t="str"/>
      <x:c r="R38" s="14" t="str"/>
      <x:c r="S38" s="14" t="str"/>
      <x:c r="T38" s="14" t="str">
        <x:v>pending</x:v>
      </x:c>
      <x:c r="U38" s="14" t="str">
        <x:v>prompt_tr_v0.1</x:v>
      </x:c>
      <x:c r="V38" s="14" t="str">
        <x:v>scorer_tr_v0.1</x:v>
      </x:c>
    </x:row>
    <x:row r="39">
      <x:c r="A39" s="14" t="str">
        <x:v>PILOT-M1-D035</x:v>
      </x:c>
      <x:c r="B39" s="14" t="str">
        <x:v>M1</x:v>
      </x:c>
      <x:c r="C39" s="14" t="str">
        <x:v>gpt-5.5-2026-04-23</x:v>
      </x:c>
      <x:c r="D39" s="14" t="str"/>
      <x:c r="E39" s="14" t="str"/>
      <x:c r="F39" s="14" t="str">
        <x:v>D035</x:v>
      </x:c>
      <x:c r="G39" s="14" t="str">
        <x:v>En az %15</x:v>
      </x:c>
      <x:c r="H39" s="14" t="str">
        <x:v>15 | %15 | yüzde 15 | en az %15 | en az yüzde 15</x:v>
      </x:c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/>
      <x:c r="Q39" s="14" t="str"/>
      <x:c r="R39" s="14" t="str"/>
      <x:c r="S39" s="14" t="str"/>
      <x:c r="T39" s="14" t="str">
        <x:v>pending</x:v>
      </x:c>
      <x:c r="U39" s="14" t="str">
        <x:v>prompt_tr_v0.1</x:v>
      </x:c>
      <x:c r="V39" s="14" t="str">
        <x:v>scorer_tr_v0.1</x:v>
      </x:c>
    </x:row>
    <x:row r="40">
      <x:c r="A40" s="14" t="str">
        <x:v>PILOT-M1-D036</x:v>
      </x:c>
      <x:c r="B40" s="14" t="str">
        <x:v>M1</x:v>
      </x:c>
      <x:c r="C40" s="14" t="str">
        <x:v>gpt-5.5-2026-04-23</x:v>
      </x:c>
      <x:c r="D40" s="14" t="str"/>
      <x:c r="E40" s="14" t="str"/>
      <x:c r="F40" s="14" t="str">
        <x:v>D036</x:v>
      </x:c>
      <x:c r="G40" s="14" t="str">
        <x:v>2–4 kişi</x:v>
      </x:c>
      <x:c r="H40" s="14" t="str">
        <x:v>2-4 | 2–4 | 2 ila 4 | iki ila dört | iki-dört kişi</x:v>
      </x:c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/>
      <x:c r="Q40" s="14" t="str"/>
      <x:c r="R40" s="14" t="str"/>
      <x:c r="S40" s="14" t="str"/>
      <x:c r="T40" s="14" t="str">
        <x:v>pending</x:v>
      </x:c>
      <x:c r="U40" s="14" t="str">
        <x:v>prompt_tr_v0.1</x:v>
      </x:c>
      <x:c r="V40" s="14" t="str">
        <x:v>scorer_tr_v0.1</x:v>
      </x:c>
    </x:row>
    <x:row r="41">
      <x:c r="A41" s="14" t="str">
        <x:v>PILOT-M2-D001</x:v>
      </x:c>
      <x:c r="B41" s="14" t="str">
        <x:v>M2</x:v>
      </x:c>
      <x:c r="C41" s="14" t="str">
        <x:v>gpt-oss-120b</x:v>
      </x:c>
      <x:c r="D41" s="14" t="str"/>
      <x:c r="E41" s="14" t="str"/>
      <x:c r="F41" s="14" t="str">
        <x:v>D001</x:v>
      </x:c>
      <x:c r="G41" s="14" t="str">
        <x:v>Zırh</x:v>
      </x:c>
      <x:c r="H41" s="14" t="str">
        <x:v>zırh</x:v>
      </x:c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/>
      <x:c r="Q41" s="14" t="str"/>
      <x:c r="R41" s="14" t="str"/>
      <x:c r="S41" s="14" t="str"/>
      <x:c r="T41" s="14" t="str">
        <x:v>pending</x:v>
      </x:c>
      <x:c r="U41" s="14" t="str">
        <x:v>prompt_tr_v0.1</x:v>
      </x:c>
      <x:c r="V41" s="14" t="str">
        <x:v>scorer_tr_v0.1</x:v>
      </x:c>
    </x:row>
    <x:row r="42">
      <x:c r="A42" s="14" t="str">
        <x:v>PILOT-M2-D002</x:v>
      </x:c>
      <x:c r="B42" s="14" t="str">
        <x:v>M2</x:v>
      </x:c>
      <x:c r="C42" s="14" t="str">
        <x:v>gpt-oss-120b</x:v>
      </x:c>
      <x:c r="D42" s="14" t="str"/>
      <x:c r="E42" s="14" t="str"/>
      <x:c r="F42" s="14" t="str">
        <x:v>D002</x:v>
      </x:c>
      <x:c r="G42" s="14" t="str">
        <x:v>Çığ</x:v>
      </x:c>
      <x:c r="H42" s="14" t="str">
        <x:v>çığ</x:v>
      </x:c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/>
      <x:c r="Q42" s="14" t="str"/>
      <x:c r="R42" s="14" t="str"/>
      <x:c r="S42" s="14" t="str"/>
      <x:c r="T42" s="14" t="str">
        <x:v>pending</x:v>
      </x:c>
      <x:c r="U42" s="14" t="str">
        <x:v>prompt_tr_v0.1</x:v>
      </x:c>
      <x:c r="V42" s="14" t="str">
        <x:v>scorer_tr_v0.1</x:v>
      </x:c>
    </x:row>
    <x:row r="43">
      <x:c r="A43" s="14" t="str">
        <x:v>PILOT-M2-D003</x:v>
      </x:c>
      <x:c r="B43" s="14" t="str">
        <x:v>M2</x:v>
      </x:c>
      <x:c r="C43" s="14" t="str">
        <x:v>gpt-oss-120b</x:v>
      </x:c>
      <x:c r="D43" s="14" t="str"/>
      <x:c r="E43" s="14" t="str"/>
      <x:c r="F43" s="14" t="str">
        <x:v>D003</x:v>
      </x:c>
      <x:c r="G43" s="14" t="str">
        <x:v>Soğuk</x:v>
      </x:c>
      <x:c r="H43" s="14" t="str">
        <x:v>soğuk | soğuk su</x:v>
      </x:c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/>
      <x:c r="Q43" s="14" t="str"/>
      <x:c r="R43" s="14" t="str"/>
      <x:c r="S43" s="14" t="str"/>
      <x:c r="T43" s="14" t="str">
        <x:v>pending</x:v>
      </x:c>
      <x:c r="U43" s="14" t="str">
        <x:v>prompt_tr_v0.1</x:v>
      </x:c>
      <x:c r="V43" s="14" t="str">
        <x:v>scorer_tr_v0.1</x:v>
      </x:c>
    </x:row>
    <x:row r="44">
      <x:c r="A44" s="14" t="str">
        <x:v>PILOT-M2-D004</x:v>
      </x:c>
      <x:c r="B44" s="14" t="str">
        <x:v>M2</x:v>
      </x:c>
      <x:c r="C44" s="14" t="str">
        <x:v>gpt-oss-120b</x:v>
      </x:c>
      <x:c r="D44" s="14" t="str"/>
      <x:c r="E44" s="14" t="str"/>
      <x:c r="F44" s="14" t="str">
        <x:v>D004</x:v>
      </x:c>
      <x:c r="G44" s="14" t="str">
        <x:v>Su</x:v>
      </x:c>
      <x:c r="H44" s="14" t="str">
        <x:v>su | bir bardak su</x:v>
      </x:c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/>
      <x:c r="Q44" s="14" t="str"/>
      <x:c r="R44" s="14" t="str"/>
      <x:c r="S44" s="14" t="str"/>
      <x:c r="T44" s="14" t="str">
        <x:v>pending</x:v>
      </x:c>
      <x:c r="U44" s="14" t="str">
        <x:v>prompt_tr_v0.1</x:v>
      </x:c>
      <x:c r="V44" s="14" t="str">
        <x:v>scorer_tr_v0.1</x:v>
      </x:c>
    </x:row>
    <x:row r="45">
      <x:c r="A45" s="14" t="str">
        <x:v>PILOT-M2-D005</x:v>
      </x:c>
      <x:c r="B45" s="14" t="str">
        <x:v>M2</x:v>
      </x:c>
      <x:c r="C45" s="14" t="str">
        <x:v>gpt-oss-120b</x:v>
      </x:c>
      <x:c r="D45" s="14" t="str"/>
      <x:c r="E45" s="14" t="str"/>
      <x:c r="F45" s="14" t="str">
        <x:v>D005</x:v>
      </x:c>
      <x:c r="G45" s="14" t="str">
        <x:v>Tarator</x:v>
      </x:c>
      <x:c r="H45" s="14" t="str">
        <x:v>tarator | tarator sosu</x:v>
      </x:c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/>
      <x:c r="Q45" s="14" t="str"/>
      <x:c r="R45" s="14" t="str"/>
      <x:c r="S45" s="14" t="str"/>
      <x:c r="T45" s="14" t="str">
        <x:v>pending</x:v>
      </x:c>
      <x:c r="U45" s="14" t="str">
        <x:v>prompt_tr_v0.1</x:v>
      </x:c>
      <x:c r="V45" s="14" t="str">
        <x:v>scorer_tr_v0.1</x:v>
      </x:c>
    </x:row>
    <x:row r="46">
      <x:c r="A46" s="14" t="str">
        <x:v>PILOT-M2-D006</x:v>
      </x:c>
      <x:c r="B46" s="14" t="str">
        <x:v>M2</x:v>
      </x:c>
      <x:c r="C46" s="14" t="str">
        <x:v>gpt-oss-120b</x:v>
      </x:c>
      <x:c r="D46" s="14" t="str"/>
      <x:c r="E46" s="14" t="str"/>
      <x:c r="F46" s="14" t="str">
        <x:v>D006</x:v>
      </x:c>
      <x:c r="G46" s="14" t="str">
        <x:v>Tokmak</x:v>
      </x:c>
      <x:c r="H46" s="14" t="str">
        <x:v>tokmak</x:v>
      </x:c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/>
      <x:c r="Q46" s="14" t="str"/>
      <x:c r="R46" s="14" t="str"/>
      <x:c r="S46" s="14" t="str"/>
      <x:c r="T46" s="14" t="str">
        <x:v>pending</x:v>
      </x:c>
      <x:c r="U46" s="14" t="str">
        <x:v>prompt_tr_v0.1</x:v>
      </x:c>
      <x:c r="V46" s="14" t="str">
        <x:v>scorer_tr_v0.1</x:v>
      </x:c>
    </x:row>
    <x:row r="47">
      <x:c r="A47" s="14" t="str">
        <x:v>PILOT-M2-D007</x:v>
      </x:c>
      <x:c r="B47" s="14" t="str">
        <x:v>M2</x:v>
      </x:c>
      <x:c r="C47" s="14" t="str">
        <x:v>gpt-oss-120b</x:v>
      </x:c>
      <x:c r="D47" s="14" t="str"/>
      <x:c r="E47" s="14" t="str"/>
      <x:c r="F47" s="14" t="str">
        <x:v>D007</x:v>
      </x:c>
      <x:c r="G47" s="14" t="str">
        <x:v>Ceviz</x:v>
      </x:c>
      <x:c r="H47" s="14" t="str">
        <x:v>ceviz | ceviz içi</x:v>
      </x:c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/>
      <x:c r="Q47" s="14" t="str"/>
      <x:c r="R47" s="14" t="str"/>
      <x:c r="S47" s="14" t="str"/>
      <x:c r="T47" s="14" t="str">
        <x:v>pending</x:v>
      </x:c>
      <x:c r="U47" s="14" t="str">
        <x:v>prompt_tr_v0.1</x:v>
      </x:c>
      <x:c r="V47" s="14" t="str">
        <x:v>scorer_tr_v0.1</x:v>
      </x:c>
    </x:row>
    <x:row r="48">
      <x:c r="A48" s="14" t="str">
        <x:v>PILOT-M2-D008</x:v>
      </x:c>
      <x:c r="B48" s="14" t="str">
        <x:v>M2</x:v>
      </x:c>
      <x:c r="C48" s="14" t="str">
        <x:v>gpt-oss-120b</x:v>
      </x:c>
      <x:c r="D48" s="14" t="str"/>
      <x:c r="E48" s="14" t="str"/>
      <x:c r="F48" s="14" t="str">
        <x:v>D008</x:v>
      </x:c>
      <x:c r="G48" s="14" t="str">
        <x:v>Badem</x:v>
      </x:c>
      <x:c r="H48" s="14" t="str">
        <x:v>badem | badem içi</x:v>
      </x:c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/>
      <x:c r="Q48" s="14" t="str"/>
      <x:c r="R48" s="14" t="str"/>
      <x:c r="S48" s="14" t="str"/>
      <x:c r="T48" s="14" t="str">
        <x:v>pending</x:v>
      </x:c>
      <x:c r="U48" s="14" t="str">
        <x:v>prompt_tr_v0.1</x:v>
      </x:c>
      <x:c r="V48" s="14" t="str">
        <x:v>scorer_tr_v0.1</x:v>
      </x:c>
    </x:row>
    <x:row r="49">
      <x:c r="A49" s="14" t="str">
        <x:v>PILOT-M2-D009</x:v>
      </x:c>
      <x:c r="B49" s="14" t="str">
        <x:v>M2</x:v>
      </x:c>
      <x:c r="C49" s="14" t="str">
        <x:v>gpt-oss-120b</x:v>
      </x:c>
      <x:c r="D49" s="14" t="str"/>
      <x:c r="E49" s="14" t="str"/>
      <x:c r="F49" s="14" t="str">
        <x:v>D009</x:v>
      </x:c>
      <x:c r="G49" s="14" t="str">
        <x:v>Yoğurt ve dövme</x:v>
      </x:c>
      <x:c r="H49" s="14" t="str">
        <x:v>yoğurt ve dövme | yoğurt ve buğday yarması | yoğurt ile dövme | yoğurt ile buğday yarması</x:v>
      </x:c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/>
      <x:c r="Q49" s="14" t="str"/>
      <x:c r="R49" s="14" t="str"/>
      <x:c r="S49" s="14" t="str"/>
      <x:c r="T49" s="14" t="str">
        <x:v>pending</x:v>
      </x:c>
      <x:c r="U49" s="14" t="str">
        <x:v>prompt_tr_v0.1</x:v>
      </x:c>
      <x:c r="V49" s="14" t="str">
        <x:v>scorer_tr_v0.1</x:v>
      </x:c>
    </x:row>
    <x:row r="50">
      <x:c r="A50" s="14" t="str">
        <x:v>PILOT-M2-D010</x:v>
      </x:c>
      <x:c r="B50" s="14" t="str">
        <x:v>M2</x:v>
      </x:c>
      <x:c r="C50" s="14" t="str">
        <x:v>gpt-oss-120b</x:v>
      </x:c>
      <x:c r="D50" s="14" t="str"/>
      <x:c r="E50" s="14" t="str"/>
      <x:c r="F50" s="14" t="str">
        <x:v>D010</x:v>
      </x:c>
      <x:c r="G50" s="14" t="str">
        <x:v>Armut biçimli bardak</x:v>
      </x:c>
      <x:c r="H50" s="14" t="str">
        <x:v>armut biçimli bardak | armut şeklinde bardak | armut biçimli bardaklar | armut şeklinde bardaklar</x:v>
      </x:c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/>
      <x:c r="Q50" s="14" t="str"/>
      <x:c r="R50" s="14" t="str"/>
      <x:c r="S50" s="14" t="str"/>
      <x:c r="T50" s="14" t="str">
        <x:v>pending</x:v>
      </x:c>
      <x:c r="U50" s="14" t="str">
        <x:v>prompt_tr_v0.1</x:v>
      </x:c>
      <x:c r="V50" s="14" t="str">
        <x:v>scorer_tr_v0.1</x:v>
      </x:c>
    </x:row>
    <x:row r="51">
      <x:c r="A51" s="14" t="str">
        <x:v>PILOT-M2-D011</x:v>
      </x:c>
      <x:c r="B51" s="14" t="str">
        <x:v>M2</x:v>
      </x:c>
      <x:c r="C51" s="14" t="str">
        <x:v>gpt-oss-120b</x:v>
      </x:c>
      <x:c r="D51" s="14" t="str"/>
      <x:c r="E51" s="14" t="str"/>
      <x:c r="F51" s="14" t="str">
        <x:v>D011</x:v>
      </x:c>
      <x:c r="G51" s="14" t="str">
        <x:v>Çiftin komşularına</x:v>
      </x:c>
      <x:c r="H51" s="14" t="str">
        <x:v>çiftin komşularına | yeni evli çiftin komşularına | komşulara</x:v>
      </x:c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/>
      <x:c r="Q51" s="14" t="str"/>
      <x:c r="R51" s="14" t="str"/>
      <x:c r="S51" s="14" t="str"/>
      <x:c r="T51" s="14" t="str">
        <x:v>pending</x:v>
      </x:c>
      <x:c r="U51" s="14" t="str">
        <x:v>prompt_tr_v0.1</x:v>
      </x:c>
      <x:c r="V51" s="14" t="str">
        <x:v>scorer_tr_v0.1</x:v>
      </x:c>
    </x:row>
    <x:row r="52">
      <x:c r="A52" s="14" t="str">
        <x:v>PILOT-M2-D012</x:v>
      </x:c>
      <x:c r="B52" s="14" t="str">
        <x:v>M2</x:v>
      </x:c>
      <x:c r="C52" s="14" t="str">
        <x:v>gpt-oss-120b</x:v>
      </x:c>
      <x:c r="D52" s="14" t="str"/>
      <x:c r="E52" s="14" t="str"/>
      <x:c r="F52" s="14" t="str">
        <x:v>D012</x:v>
      </x:c>
      <x:c r="G52" s="14" t="str">
        <x:v>Davul ve zurna</x:v>
      </x:c>
      <x:c r="H52" s="14" t="str">
        <x:v>davul ve zurna | zurna ve davul</x:v>
      </x:c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/>
      <x:c r="Q52" s="14" t="str"/>
      <x:c r="R52" s="14" t="str"/>
      <x:c r="S52" s="14" t="str"/>
      <x:c r="T52" s="14" t="str">
        <x:v>pending</x:v>
      </x:c>
      <x:c r="U52" s="14" t="str">
        <x:v>prompt_tr_v0.1</x:v>
      </x:c>
      <x:c r="V52" s="14" t="str">
        <x:v>scorer_tr_v0.1</x:v>
      </x:c>
    </x:row>
    <x:row r="53">
      <x:c r="A53" s="14" t="str">
        <x:v>PILOT-M2-D013</x:v>
      </x:c>
      <x:c r="B53" s="14" t="str">
        <x:v>M2</x:v>
      </x:c>
      <x:c r="C53" s="14" t="str">
        <x:v>gpt-oss-120b</x:v>
      </x:c>
      <x:c r="D53" s="14" t="str"/>
      <x:c r="E53" s="14" t="str"/>
      <x:c r="F53" s="14" t="str">
        <x:v>D013</x:v>
      </x:c>
      <x:c r="G53" s="14" t="str">
        <x:v>Bolluk ve bereket</x:v>
      </x:c>
      <x:c r="H53" s="14" t="str">
        <x:v>bolluk ve bereket | bereket ve bolluk</x:v>
      </x:c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/>
      <x:c r="Q53" s="14" t="str"/>
      <x:c r="R53" s="14" t="str"/>
      <x:c r="S53" s="14" t="str"/>
      <x:c r="T53" s="14" t="str">
        <x:v>pending</x:v>
      </x:c>
      <x:c r="U53" s="14" t="str">
        <x:v>prompt_tr_v0.1</x:v>
      </x:c>
      <x:c r="V53" s="14" t="str">
        <x:v>scorer_tr_v0.1</x:v>
      </x:c>
    </x:row>
    <x:row r="54">
      <x:c r="A54" s="14" t="str">
        <x:v>PILOT-M2-D014</x:v>
      </x:c>
      <x:c r="B54" s="14" t="str">
        <x:v>M2</x:v>
      </x:c>
      <x:c r="C54" s="14" t="str">
        <x:v>gpt-oss-120b</x:v>
      </x:c>
      <x:c r="D54" s="14" t="str"/>
      <x:c r="E54" s="14" t="str"/>
      <x:c r="F54" s="14" t="str">
        <x:v>D014</x:v>
      </x:c>
      <x:c r="G54" s="14" t="str">
        <x:v>Hasta ve yaşlılar</x:v>
      </x:c>
      <x:c r="H54" s="14" t="str">
        <x:v>hasta ve yaşlılar | yaşlı ve hastalar | hastalara ve yaşlılara | yaşlılara ve hastalara</x:v>
      </x:c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/>
      <x:c r="Q54" s="14" t="str"/>
      <x:c r="R54" s="14" t="str"/>
      <x:c r="S54" s="14" t="str"/>
      <x:c r="T54" s="14" t="str">
        <x:v>pending</x:v>
      </x:c>
      <x:c r="U54" s="14" t="str">
        <x:v>prompt_tr_v0.1</x:v>
      </x:c>
      <x:c r="V54" s="14" t="str">
        <x:v>scorer_tr_v0.1</x:v>
      </x:c>
    </x:row>
    <x:row r="55">
      <x:c r="A55" s="14" t="str">
        <x:v>PILOT-M2-D015</x:v>
      </x:c>
      <x:c r="B55" s="14" t="str">
        <x:v>M2</x:v>
      </x:c>
      <x:c r="C55" s="14" t="str">
        <x:v>gpt-oss-120b</x:v>
      </x:c>
      <x:c r="D55" s="14" t="str"/>
      <x:c r="E55" s="14" t="str"/>
      <x:c r="F55" s="14" t="str">
        <x:v>D015</x:v>
      </x:c>
      <x:c r="G55" s="14" t="str">
        <x:v>Humus Tası</x:v>
      </x:c>
      <x:c r="H55" s="14" t="str">
        <x:v>humus tası | humus tasi</x:v>
      </x:c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/>
      <x:c r="Q55" s="14" t="str"/>
      <x:c r="R55" s="14" t="str"/>
      <x:c r="S55" s="14" t="str"/>
      <x:c r="T55" s="14" t="str">
        <x:v>pending</x:v>
      </x:c>
      <x:c r="U55" s="14" t="str">
        <x:v>prompt_tr_v0.1</x:v>
      </x:c>
      <x:c r="V55" s="14" t="str">
        <x:v>scorer_tr_v0.1</x:v>
      </x:c>
    </x:row>
    <x:row r="56">
      <x:c r="A56" s="14" t="str">
        <x:v>PILOT-M2-D016</x:v>
      </x:c>
      <x:c r="B56" s="14" t="str">
        <x:v>M2</x:v>
      </x:c>
      <x:c r="C56" s="14" t="str">
        <x:v>gpt-oss-120b</x:v>
      </x:c>
      <x:c r="D56" s="14" t="str"/>
      <x:c r="E56" s="14" t="str"/>
      <x:c r="F56" s="14" t="str">
        <x:v>D016</x:v>
      </x:c>
      <x:c r="G56" s="14" t="str">
        <x:v>Lokma dökmek</x:v>
      </x:c>
      <x:c r="H56" s="14" t="str">
        <x:v>lokma dökmek | lokma döktürmek</x:v>
      </x:c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/>
      <x:c r="Q56" s="14" t="str"/>
      <x:c r="R56" s="14" t="str"/>
      <x:c r="S56" s="14" t="str"/>
      <x:c r="T56" s="14" t="str">
        <x:v>pending</x:v>
      </x:c>
      <x:c r="U56" s="14" t="str">
        <x:v>prompt_tr_v0.1</x:v>
      </x:c>
      <x:c r="V56" s="14" t="str">
        <x:v>scorer_tr_v0.1</x:v>
      </x:c>
    </x:row>
    <x:row r="57">
      <x:c r="A57" s="14" t="str">
        <x:v>PILOT-M2-D017</x:v>
      </x:c>
      <x:c r="B57" s="14" t="str">
        <x:v>M2</x:v>
      </x:c>
      <x:c r="C57" s="14" t="str">
        <x:v>gpt-oss-120b</x:v>
      </x:c>
      <x:c r="D57" s="14" t="str"/>
      <x:c r="E57" s="14" t="str"/>
      <x:c r="F57" s="14" t="str">
        <x:v>D017</x:v>
      </x:c>
      <x:c r="G57" s="14" t="str">
        <x:v>Gömlek</x:v>
      </x:c>
      <x:c r="H57" s="14" t="str">
        <x:v>gömlek | çember</x:v>
      </x:c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/>
      <x:c r="Q57" s="14" t="str"/>
      <x:c r="R57" s="14" t="str"/>
      <x:c r="S57" s="14" t="str"/>
      <x:c r="T57" s="14" t="str">
        <x:v>pending</x:v>
      </x:c>
      <x:c r="U57" s="14" t="str">
        <x:v>prompt_tr_v0.1</x:v>
      </x:c>
      <x:c r="V57" s="14" t="str">
        <x:v>scorer_tr_v0.1</x:v>
      </x:c>
    </x:row>
    <x:row r="58">
      <x:c r="A58" s="14" t="str">
        <x:v>PILOT-M2-D018</x:v>
      </x:c>
      <x:c r="B58" s="14" t="str">
        <x:v>M2</x:v>
      </x:c>
      <x:c r="C58" s="14" t="str">
        <x:v>gpt-oss-120b</x:v>
      </x:c>
      <x:c r="D58" s="14" t="str"/>
      <x:c r="E58" s="14" t="str"/>
      <x:c r="F58" s="14" t="str">
        <x:v>D018</x:v>
      </x:c>
      <x:c r="G58" s="14" t="str">
        <x:v>Cücük</x:v>
      </x:c>
      <x:c r="H58" s="14" t="str">
        <x:v>cücük</x:v>
      </x:c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/>
      <x:c r="Q58" s="14" t="str"/>
      <x:c r="R58" s="14" t="str"/>
      <x:c r="S58" s="14" t="str"/>
      <x:c r="T58" s="14" t="str">
        <x:v>pending</x:v>
      </x:c>
      <x:c r="U58" s="14" t="str">
        <x:v>prompt_tr_v0.1</x:v>
      </x:c>
      <x:c r="V58" s="14" t="str">
        <x:v>scorer_tr_v0.1</x:v>
      </x:c>
    </x:row>
    <x:row r="59">
      <x:c r="A59" s="14" t="str">
        <x:v>PILOT-M2-D019</x:v>
      </x:c>
      <x:c r="B59" s="14" t="str">
        <x:v>M2</x:v>
      </x:c>
      <x:c r="C59" s="14" t="str">
        <x:v>gpt-oss-120b</x:v>
      </x:c>
      <x:c r="D59" s="14" t="str"/>
      <x:c r="E59" s="14" t="str"/>
      <x:c r="F59" s="14" t="str">
        <x:v>D019</x:v>
      </x:c>
      <x:c r="G59" s="14" t="str">
        <x:v>Mamaliga</x:v>
      </x:c>
      <x:c r="H59" s="14" t="str">
        <x:v>mamaliga</x:v>
      </x:c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/>
      <x:c r="Q59" s="14" t="str"/>
      <x:c r="R59" s="14" t="str"/>
      <x:c r="S59" s="14" t="str"/>
      <x:c r="T59" s="14" t="str">
        <x:v>pending</x:v>
      </x:c>
      <x:c r="U59" s="14" t="str">
        <x:v>prompt_tr_v0.1</x:v>
      </x:c>
      <x:c r="V59" s="14" t="str">
        <x:v>scorer_tr_v0.1</x:v>
      </x:c>
    </x:row>
    <x:row r="60">
      <x:c r="A60" s="14" t="str">
        <x:v>PILOT-M2-D020</x:v>
      </x:c>
      <x:c r="B60" s="14" t="str">
        <x:v>M2</x:v>
      </x:c>
      <x:c r="C60" s="14" t="str">
        <x:v>gpt-oss-120b</x:v>
      </x:c>
      <x:c r="D60" s="14" t="str"/>
      <x:c r="E60" s="14" t="str"/>
      <x:c r="F60" s="14" t="str">
        <x:v>D020</x:v>
      </x:c>
      <x:c r="G60" s="14" t="str">
        <x:v>Takım</x:v>
      </x:c>
      <x:c r="H60" s="14" t="str">
        <x:v>takım</x:v>
      </x:c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/>
      <x:c r="Q60" s="14" t="str"/>
      <x:c r="R60" s="14" t="str"/>
      <x:c r="S60" s="14" t="str"/>
      <x:c r="T60" s="14" t="str">
        <x:v>pending</x:v>
      </x:c>
      <x:c r="U60" s="14" t="str">
        <x:v>prompt_tr_v0.1</x:v>
      </x:c>
      <x:c r="V60" s="14" t="str">
        <x:v>scorer_tr_v0.1</x:v>
      </x:c>
    </x:row>
    <x:row r="61">
      <x:c r="A61" s="14" t="str">
        <x:v>PILOT-M2-D021</x:v>
      </x:c>
      <x:c r="B61" s="14" t="str">
        <x:v>M2</x:v>
      </x:c>
      <x:c r="C61" s="14" t="str">
        <x:v>gpt-oss-120b</x:v>
      </x:c>
      <x:c r="D61" s="14" t="str"/>
      <x:c r="E61" s="14" t="str"/>
      <x:c r="F61" s="14" t="str">
        <x:v>D021</x:v>
      </x:c>
      <x:c r="G61" s="14" t="str">
        <x:v>Zinardı daveti</x:v>
      </x:c>
      <x:c r="H61" s="14" t="str">
        <x:v>zinardı daveti | zinardı | sini ardı daveti | sini ardı</x:v>
      </x:c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/>
      <x:c r="Q61" s="14" t="str"/>
      <x:c r="R61" s="14" t="str"/>
      <x:c r="S61" s="14" t="str"/>
      <x:c r="T61" s="14" t="str">
        <x:v>pending</x:v>
      </x:c>
      <x:c r="U61" s="14" t="str">
        <x:v>prompt_tr_v0.1</x:v>
      </x:c>
      <x:c r="V61" s="14" t="str">
        <x:v>scorer_tr_v0.1</x:v>
      </x:c>
    </x:row>
    <x:row r="62">
      <x:c r="A62" s="14" t="str">
        <x:v>PILOT-M2-D022</x:v>
      </x:c>
      <x:c r="B62" s="14" t="str">
        <x:v>M2</x:v>
      </x:c>
      <x:c r="C62" s="14" t="str">
        <x:v>gpt-oss-120b</x:v>
      </x:c>
      <x:c r="D62" s="14" t="str"/>
      <x:c r="E62" s="14" t="str"/>
      <x:c r="F62" s="14" t="str">
        <x:v>D022</x:v>
      </x:c>
      <x:c r="G62" s="14" t="str">
        <x:v>Yemek kurtarma</x:v>
      </x:c>
      <x:c r="H62" s="14" t="str">
        <x:v>yemek kurtarma</x:v>
      </x:c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/>
      <x:c r="Q62" s="14" t="str"/>
      <x:c r="R62" s="14" t="str"/>
      <x:c r="S62" s="14" t="str"/>
      <x:c r="T62" s="14" t="str">
        <x:v>pending</x:v>
      </x:c>
      <x:c r="U62" s="14" t="str">
        <x:v>prompt_tr_v0.1</x:v>
      </x:c>
      <x:c r="V62" s="14" t="str">
        <x:v>scorer_tr_v0.1</x:v>
      </x:c>
    </x:row>
    <x:row r="63">
      <x:c r="A63" s="14" t="str">
        <x:v>PILOT-M2-D023</x:v>
      </x:c>
      <x:c r="B63" s="14" t="str">
        <x:v>M2</x:v>
      </x:c>
      <x:c r="C63" s="14" t="str">
        <x:v>gpt-oss-120b</x:v>
      </x:c>
      <x:c r="D63" s="14" t="str"/>
      <x:c r="E63" s="14" t="str"/>
      <x:c r="F63" s="14" t="str">
        <x:v>D023</x:v>
      </x:c>
      <x:c r="G63" s="14" t="str">
        <x:v>Kaymak</x:v>
      </x:c>
      <x:c r="H63" s="14" t="str">
        <x:v>kaymak</x:v>
      </x:c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/>
      <x:c r="Q63" s="14" t="str"/>
      <x:c r="R63" s="14" t="str"/>
      <x:c r="S63" s="14" t="str"/>
      <x:c r="T63" s="14" t="str">
        <x:v>pending</x:v>
      </x:c>
      <x:c r="U63" s="14" t="str">
        <x:v>prompt_tr_v0.1</x:v>
      </x:c>
      <x:c r="V63" s="14" t="str">
        <x:v>scorer_tr_v0.1</x:v>
      </x:c>
    </x:row>
    <x:row r="64">
      <x:c r="A64" s="14" t="str">
        <x:v>PILOT-M2-D024</x:v>
      </x:c>
      <x:c r="B64" s="14" t="str">
        <x:v>M2</x:v>
      </x:c>
      <x:c r="C64" s="14" t="str">
        <x:v>gpt-oss-120b</x:v>
      </x:c>
      <x:c r="D64" s="14" t="str"/>
      <x:c r="E64" s="14" t="str"/>
      <x:c r="F64" s="14" t="str">
        <x:v>D024</x:v>
      </x:c>
      <x:c r="G64" s="14" t="str">
        <x:v>Pişirme ve soğutma sonrasında</x:v>
      </x:c>
      <x:c r="H64" s="14" t="str">
        <x:v>pişirme ve soğutma sonrasında | pişirmeden ve soğutmadan sonra | dövme pişirilip soğutulduktan sonra | pişmiş dövme soğutulduktan sonra</x:v>
      </x:c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/>
      <x:c r="Q64" s="14" t="str"/>
      <x:c r="R64" s="14" t="str"/>
      <x:c r="S64" s="14" t="str"/>
      <x:c r="T64" s="14" t="str">
        <x:v>pending</x:v>
      </x:c>
      <x:c r="U64" s="14" t="str">
        <x:v>prompt_tr_v0.1</x:v>
      </x:c>
      <x:c r="V64" s="14" t="str">
        <x:v>scorer_tr_v0.1</x:v>
      </x:c>
    </x:row>
    <x:row r="65">
      <x:c r="A65" s="14" t="str">
        <x:v>PILOT-M2-D025</x:v>
      </x:c>
      <x:c r="B65" s="14" t="str">
        <x:v>M2</x:v>
      </x:c>
      <x:c r="C65" s="14" t="str">
        <x:v>gpt-oss-120b</x:v>
      </x:c>
      <x:c r="D65" s="14" t="str"/>
      <x:c r="E65" s="14" t="str"/>
      <x:c r="F65" s="14" t="str">
        <x:v>D025</x:v>
      </x:c>
      <x:c r="G65" s="14" t="str">
        <x:v>Sığır bağırsağı</x:v>
      </x:c>
      <x:c r="H65" s="14" t="str">
        <x:v>sığır bağırsağı | sığır bağırsağına</x:v>
      </x:c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/>
      <x:c r="Q65" s="14" t="str"/>
      <x:c r="R65" s="14" t="str"/>
      <x:c r="S65" s="14" t="str"/>
      <x:c r="T65" s="14" t="str">
        <x:v>pending</x:v>
      </x:c>
      <x:c r="U65" s="14" t="str">
        <x:v>prompt_tr_v0.1</x:v>
      </x:c>
      <x:c r="V65" s="14" t="str">
        <x:v>scorer_tr_v0.1</x:v>
      </x:c>
    </x:row>
    <x:row r="66">
      <x:c r="A66" s="14" t="str">
        <x:v>PILOT-M2-D026</x:v>
      </x:c>
      <x:c r="B66" s="14" t="str">
        <x:v>M2</x:v>
      </x:c>
      <x:c r="C66" s="14" t="str">
        <x:v>gpt-oss-120b</x:v>
      </x:c>
      <x:c r="D66" s="14" t="str"/>
      <x:c r="E66" s="14" t="str"/>
      <x:c r="F66" s="14" t="str">
        <x:v>D026</x:v>
      </x:c>
      <x:c r="G66" s="14" t="str">
        <x:v>Meşe odunu</x:v>
      </x:c>
      <x:c r="H66" s="14" t="str">
        <x:v>meşe odunu | meşe</x:v>
      </x:c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/>
      <x:c r="Q66" s="14" t="str"/>
      <x:c r="R66" s="14" t="str"/>
      <x:c r="S66" s="14" t="str"/>
      <x:c r="T66" s="14" t="str">
        <x:v>pending</x:v>
      </x:c>
      <x:c r="U66" s="14" t="str">
        <x:v>prompt_tr_v0.1</x:v>
      </x:c>
      <x:c r="V66" s="14" t="str">
        <x:v>scorer_tr_v0.1</x:v>
      </x:c>
    </x:row>
    <x:row r="67">
      <x:c r="A67" s="14" t="str">
        <x:v>PILOT-M2-D027</x:v>
      </x:c>
      <x:c r="B67" s="14" t="str">
        <x:v>M2</x:v>
      </x:c>
      <x:c r="C67" s="14" t="str">
        <x:v>gpt-oss-120b</x:v>
      </x:c>
      <x:c r="D67" s="14" t="str"/>
      <x:c r="E67" s="14" t="str"/>
      <x:c r="F67" s="14" t="str">
        <x:v>D027</x:v>
      </x:c>
      <x:c r="G67" s="14" t="str">
        <x:v>Fındık kabuğu</x:v>
      </x:c>
      <x:c r="H67" s="14" t="str">
        <x:v>fındık kabuğu | fındık kabuğu ateşi | fındık kabuğu ateşinde</x:v>
      </x:c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/>
      <x:c r="Q67" s="14" t="str"/>
      <x:c r="R67" s="14" t="str"/>
      <x:c r="S67" s="14" t="str"/>
      <x:c r="T67" s="14" t="str">
        <x:v>pending</x:v>
      </x:c>
      <x:c r="U67" s="14" t="str">
        <x:v>prompt_tr_v0.1</x:v>
      </x:c>
      <x:c r="V67" s="14" t="str">
        <x:v>scorer_tr_v0.1</x:v>
      </x:c>
    </x:row>
    <x:row r="68">
      <x:c r="A68" s="14" t="str">
        <x:v>PILOT-M2-D028</x:v>
      </x:c>
      <x:c r="B68" s="14" t="str">
        <x:v>M2</x:v>
      </x:c>
      <x:c r="C68" s="14" t="str">
        <x:v>gpt-oss-120b</x:v>
      </x:c>
      <x:c r="D68" s="14" t="str"/>
      <x:c r="E68" s="14" t="str"/>
      <x:c r="F68" s="14" t="str">
        <x:v>D028</x:v>
      </x:c>
      <x:c r="G68" s="14" t="str">
        <x:v>Çöven</x:v>
      </x:c>
      <x:c r="H68" s="14" t="str">
        <x:v>çöven | çöğen</x:v>
      </x:c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/>
      <x:c r="Q68" s="14" t="str"/>
      <x:c r="R68" s="14" t="str"/>
      <x:c r="S68" s="14" t="str"/>
      <x:c r="T68" s="14" t="str">
        <x:v>pending</x:v>
      </x:c>
      <x:c r="U68" s="14" t="str">
        <x:v>prompt_tr_v0.1</x:v>
      </x:c>
      <x:c r="V68" s="14" t="str">
        <x:v>scorer_tr_v0.1</x:v>
      </x:c>
    </x:row>
    <x:row r="69">
      <x:c r="A69" s="14" t="str">
        <x:v>PILOT-M2-D029</x:v>
      </x:c>
      <x:c r="B69" s="14" t="str">
        <x:v>M2</x:v>
      </x:c>
      <x:c r="C69" s="14" t="str">
        <x:v>gpt-oss-120b</x:v>
      </x:c>
      <x:c r="D69" s="14" t="str"/>
      <x:c r="E69" s="14" t="str"/>
      <x:c r="F69" s="14" t="str">
        <x:v>D029</x:v>
      </x:c>
      <x:c r="G69" s="14" t="str">
        <x:v>Fal bakmak</x:v>
      </x:c>
      <x:c r="H69" s="14" t="str">
        <x:v>fal bakmak | kahve falı | kahve falı bakmak | falcılık</x:v>
      </x:c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/>
      <x:c r="Q69" s="14" t="str"/>
      <x:c r="R69" s="14" t="str"/>
      <x:c r="S69" s="14" t="str"/>
      <x:c r="T69" s="14" t="str">
        <x:v>pending</x:v>
      </x:c>
      <x:c r="U69" s="14" t="str">
        <x:v>prompt_tr_v0.1</x:v>
      </x:c>
      <x:c r="V69" s="14" t="str">
        <x:v>scorer_tr_v0.1</x:v>
      </x:c>
    </x:row>
    <x:row r="70">
      <x:c r="A70" s="14" t="str">
        <x:v>PILOT-M2-D030</x:v>
      </x:c>
      <x:c r="B70" s="14" t="str">
        <x:v>M2</x:v>
      </x:c>
      <x:c r="C70" s="14" t="str">
        <x:v>gpt-oss-120b</x:v>
      </x:c>
      <x:c r="D70" s="14" t="str"/>
      <x:c r="E70" s="14" t="str"/>
      <x:c r="F70" s="14" t="str">
        <x:v>D030</x:v>
      </x:c>
      <x:c r="G70" s="14" t="str">
        <x:v>Azerbaycan</x:v>
      </x:c>
      <x:c r="H70" s="14" t="str">
        <x:v>azerbaycan | azerbaijan</x:v>
      </x:c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/>
      <x:c r="Q70" s="14" t="str"/>
      <x:c r="R70" s="14" t="str"/>
      <x:c r="S70" s="14" t="str"/>
      <x:c r="T70" s="14" t="str">
        <x:v>pending</x:v>
      </x:c>
      <x:c r="U70" s="14" t="str">
        <x:v>prompt_tr_v0.1</x:v>
      </x:c>
      <x:c r="V70" s="14" t="str">
        <x:v>scorer_tr_v0.1</x:v>
      </x:c>
    </x:row>
    <x:row r="71">
      <x:c r="A71" s="14" t="str">
        <x:v>PILOT-M2-D031</x:v>
      </x:c>
      <x:c r="B71" s="14" t="str">
        <x:v>M2</x:v>
      </x:c>
      <x:c r="C71" s="14" t="str">
        <x:v>gpt-oss-120b</x:v>
      </x:c>
      <x:c r="D71" s="14" t="str"/>
      <x:c r="E71" s="14" t="str"/>
      <x:c r="F71" s="14" t="str">
        <x:v>D031</x:v>
      </x:c>
      <x:c r="G71" s="14" t="str">
        <x:v>Usta-çırak</x:v>
      </x:c>
      <x:c r="H71" s="14" t="str">
        <x:v>usta-çırak | usta çırak | ustadan çırağa | usta-çırak ilişkisi</x:v>
      </x:c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/>
      <x:c r="Q71" s="14" t="str"/>
      <x:c r="R71" s="14" t="str"/>
      <x:c r="S71" s="14" t="str"/>
      <x:c r="T71" s="14" t="str">
        <x:v>pending</x:v>
      </x:c>
      <x:c r="U71" s="14" t="str">
        <x:v>prompt_tr_v0.1</x:v>
      </x:c>
      <x:c r="V71" s="14" t="str">
        <x:v>scorer_tr_v0.1</x:v>
      </x:c>
    </x:row>
    <x:row r="72">
      <x:c r="A72" s="14" t="str">
        <x:v>PILOT-M2-D032</x:v>
      </x:c>
      <x:c r="B72" s="14" t="str">
        <x:v>M2</x:v>
      </x:c>
      <x:c r="C72" s="14" t="str">
        <x:v>gpt-oss-120b</x:v>
      </x:c>
      <x:c r="D72" s="14" t="str"/>
      <x:c r="E72" s="14" t="str"/>
      <x:c r="F72" s="14" t="str">
        <x:v>D032</x:v>
      </x:c>
      <x:c r="G72" s="14" t="str">
        <x:v>Dua</x:v>
      </x:c>
      <x:c r="H72" s="14" t="str">
        <x:v>dua | dualar | dua ederek | dualarla</x:v>
      </x:c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/>
      <x:c r="Q72" s="14" t="str"/>
      <x:c r="R72" s="14" t="str"/>
      <x:c r="S72" s="14" t="str"/>
      <x:c r="T72" s="14" t="str">
        <x:v>pending</x:v>
      </x:c>
      <x:c r="U72" s="14" t="str">
        <x:v>prompt_tr_v0.1</x:v>
      </x:c>
      <x:c r="V72" s="14" t="str">
        <x:v>scorer_tr_v0.1</x:v>
      </x:c>
    </x:row>
    <x:row r="73">
      <x:c r="A73" s="14" t="str">
        <x:v>PILOT-M2-D033</x:v>
      </x:c>
      <x:c r="B73" s="14" t="str">
        <x:v>M2</x:v>
      </x:c>
      <x:c r="C73" s="14" t="str">
        <x:v>gpt-oss-120b</x:v>
      </x:c>
      <x:c r="D73" s="14" t="str"/>
      <x:c r="E73" s="14" t="str"/>
      <x:c r="F73" s="14" t="str">
        <x:v>D033</x:v>
      </x:c>
      <x:c r="G73" s="14" t="str">
        <x:v>Hafsa Sultan</x:v>
      </x:c>
      <x:c r="H73" s="14" t="str">
        <x:v>hafsa sultan | ayşe hafsa sultan</x:v>
      </x:c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/>
      <x:c r="Q73" s="14" t="str"/>
      <x:c r="R73" s="14" t="str"/>
      <x:c r="S73" s="14" t="str"/>
      <x:c r="T73" s="14" t="str">
        <x:v>pending</x:v>
      </x:c>
      <x:c r="U73" s="14" t="str">
        <x:v>prompt_tr_v0.1</x:v>
      </x:c>
      <x:c r="V73" s="14" t="str">
        <x:v>scorer_tr_v0.1</x:v>
      </x:c>
    </x:row>
    <x:row r="74">
      <x:c r="A74" s="14" t="str">
        <x:v>PILOT-M2-D034</x:v>
      </x:c>
      <x:c r="B74" s="14" t="str">
        <x:v>M2</x:v>
      </x:c>
      <x:c r="C74" s="14" t="str">
        <x:v>gpt-oss-120b</x:v>
      </x:c>
      <x:c r="D74" s="14" t="str"/>
      <x:c r="E74" s="14" t="str"/>
      <x:c r="F74" s="14" t="str">
        <x:v>D034</x:v>
      </x:c>
      <x:c r="G74" s="14" t="str">
        <x:v>Ramazan</x:v>
      </x:c>
      <x:c r="H74" s="14" t="str">
        <x:v>ramazan | ramazan ayı</x:v>
      </x:c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/>
      <x:c r="Q74" s="14" t="str"/>
      <x:c r="R74" s="14" t="str"/>
      <x:c r="S74" s="14" t="str"/>
      <x:c r="T74" s="14" t="str">
        <x:v>pending</x:v>
      </x:c>
      <x:c r="U74" s="14" t="str">
        <x:v>prompt_tr_v0.1</x:v>
      </x:c>
      <x:c r="V74" s="14" t="str">
        <x:v>scorer_tr_v0.1</x:v>
      </x:c>
    </x:row>
    <x:row r="75">
      <x:c r="A75" s="14" t="str">
        <x:v>PILOT-M2-D035</x:v>
      </x:c>
      <x:c r="B75" s="14" t="str">
        <x:v>M2</x:v>
      </x:c>
      <x:c r="C75" s="14" t="str">
        <x:v>gpt-oss-120b</x:v>
      </x:c>
      <x:c r="D75" s="14" t="str"/>
      <x:c r="E75" s="14" t="str"/>
      <x:c r="F75" s="14" t="str">
        <x:v>D035</x:v>
      </x:c>
      <x:c r="G75" s="14" t="str">
        <x:v>En az %15</x:v>
      </x:c>
      <x:c r="H75" s="14" t="str">
        <x:v>15 | %15 | yüzde 15 | en az %15 | en az yüzde 15</x:v>
      </x:c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/>
      <x:c r="Q75" s="14" t="str"/>
      <x:c r="R75" s="14" t="str"/>
      <x:c r="S75" s="14" t="str"/>
      <x:c r="T75" s="14" t="str">
        <x:v>pending</x:v>
      </x:c>
      <x:c r="U75" s="14" t="str">
        <x:v>prompt_tr_v0.1</x:v>
      </x:c>
      <x:c r="V75" s="14" t="str">
        <x:v>scorer_tr_v0.1</x:v>
      </x:c>
    </x:row>
    <x:row r="76">
      <x:c r="A76" s="14" t="str">
        <x:v>PILOT-M2-D036</x:v>
      </x:c>
      <x:c r="B76" s="14" t="str">
        <x:v>M2</x:v>
      </x:c>
      <x:c r="C76" s="14" t="str">
        <x:v>gpt-oss-120b</x:v>
      </x:c>
      <x:c r="D76" s="14" t="str"/>
      <x:c r="E76" s="14" t="str"/>
      <x:c r="F76" s="14" t="str">
        <x:v>D036</x:v>
      </x:c>
      <x:c r="G76" s="14" t="str">
        <x:v>2–4 kişi</x:v>
      </x:c>
      <x:c r="H76" s="14" t="str">
        <x:v>2-4 | 2–4 | 2 ila 4 | iki ila dört | iki-dört kişi</x:v>
      </x:c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/>
      <x:c r="Q76" s="14" t="str"/>
      <x:c r="R76" s="14" t="str"/>
      <x:c r="S76" s="14" t="str"/>
      <x:c r="T76" s="14" t="str">
        <x:v>pending</x:v>
      </x:c>
      <x:c r="U76" s="14" t="str">
        <x:v>prompt_tr_v0.1</x:v>
      </x:c>
      <x:c r="V76" s="14" t="str">
        <x:v>scorer_tr_v0.1</x:v>
      </x:c>
    </x:row>
  </x:sheetData>
  <x:mergeCells>
    <x:mergeCell ref="A1:V1"/>
    <x:mergeCell ref="A2:V2"/>
  </x:mergeCells>
  <x:dataValidations count="2">
    <x:dataValidation type="list" sqref="M5:M76">
      <x:formula1>"CO,IN,NA"</x:formula1>
    </x:dataValidation>
    <x:dataValidation type="list" sqref="O5:O76">
      <x:formula1>"prompt,normalization,accepted_answers,numeric_parser,abstention,mixed_response,provider,other"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43e5c805d64d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0" hidden="0" customWidth="1"/>
    <x:col min="3" max="3" width="27.5" hidden="0" customWidth="1"/>
    <x:col min="4" max="4" width="32.5" hidden="0" customWidth="1"/>
    <x:col min="5" max="5" width="12.5" hidden="0" customWidth="1"/>
    <x:col min="6" max="6" width="38.75" hidden="0" customWidth="1"/>
  </x:cols>
  <x:sheetData>
    <x:row r="1" ht="28.5" customHeight="1">
      <x:c r="A1" s="3" t="str">
        <x:v>Normalization and Scoring Unit Tests</x:v>
      </x:c>
      <x:c r="B1" s="3" t="str">
        <x:v>Normalization and Scoring Unit Tests</x:v>
      </x:c>
      <x:c r="C1" s="3" t="str">
        <x:v>Normalization and Scoring Unit Tests</x:v>
      </x:c>
      <x:c r="D1" s="3" t="str">
        <x:v>Normalization and Scoring Unit Tests</x:v>
      </x:c>
      <x:c r="E1" s="3" t="str">
        <x:v>Normalization and Scoring Unit Tests</x:v>
      </x:c>
      <x:c r="F1" s="3" t="str">
        <x:v>Normalization and Scoring Unit Tests</x:v>
      </x:c>
    </x:row>
    <x:row r="3">
      <x:c r="A3" s="19" t="str">
        <x:v>test_id</x:v>
      </x:c>
      <x:c r="B3" s="19" t="str">
        <x:v>raw_response</x:v>
      </x:c>
      <x:c r="C3" s="19" t="str">
        <x:v>expected_normalized</x:v>
      </x:c>
      <x:c r="D3" s="19" t="str">
        <x:v>accepted_answers</x:v>
      </x:c>
      <x:c r="E3" s="19" t="str">
        <x:v>expected_label</x:v>
      </x:c>
      <x:c r="F3" s="19" t="str">
        <x:v>purpose</x:v>
      </x:c>
    </x:row>
    <x:row r="4">
      <x:c r="A4" s="14" t="str">
        <x:v>T01</x:v>
      </x:c>
      <x:c r="B4" s="14" t="str">
        <x:v>ZIRH</x:v>
      </x:c>
      <x:c r="C4" s="14" t="str">
        <x:v>zırh</x:v>
      </x:c>
      <x:c r="D4" s="14" t="str">
        <x:v>zırh</x:v>
      </x:c>
      <x:c r="E4" s="14" t="str">
        <x:v>CO</x:v>
      </x:c>
      <x:c r="F4" s="14" t="str">
        <x:v>Turkish dotless-ı must be preserved</x:v>
      </x:c>
    </x:row>
    <x:row r="5">
      <x:c r="A5" s="14" t="str">
        <x:v>T02</x:v>
      </x:c>
      <x:c r="B5" s="14" t="str">
        <x:v>Cevap: Çığ.</x:v>
      </x:c>
      <x:c r="C5" s="14" t="str">
        <x:v>çığ</x:v>
      </x:c>
      <x:c r="D5" s="14" t="str">
        <x:v>çığ</x:v>
      </x:c>
      <x:c r="E5" s="14" t="str">
        <x:v>CO</x:v>
      </x:c>
      <x:c r="F5" s="14" t="str">
        <x:v>Exact label and terminal punctuation may be removed</x:v>
      </x:c>
    </x:row>
    <x:row r="6">
      <x:c r="A6" s="14" t="str">
        <x:v>T03</x:v>
      </x:c>
      <x:c r="B6" s="14" t="str">
        <x:v>  ARMUT   biçimli bardaklar </x:v>
      </x:c>
      <x:c r="C6" s="14" t="str">
        <x:v>armut biçimli bardaklar</x:v>
      </x:c>
      <x:c r="D6" s="14" t="str">
        <x:v>armut biçimli bardak | armut biçimli bardaklar</x:v>
      </x:c>
      <x:c r="E6" s="14" t="str">
        <x:v>CO</x:v>
      </x:c>
      <x:c r="F6" s="14" t="str">
        <x:v>Whitespace collapses</x:v>
      </x:c>
    </x:row>
    <x:row r="7">
      <x:c r="A7" s="14" t="str">
        <x:v>T04</x:v>
      </x:c>
      <x:c r="B7" s="14" t="str">
        <x:v>2–4</x:v>
      </x:c>
      <x:c r="C7" s="14" t="str">
        <x:v>2-4</x:v>
      </x:c>
      <x:c r="D7" s="14" t="str">
        <x:v>2-4 | 2 ila 4</x:v>
      </x:c>
      <x:c r="E7" s="14" t="str">
        <x:v>CO</x:v>
      </x:c>
      <x:c r="F7" s="14" t="str">
        <x:v>Dash normalization</x:v>
      </x:c>
    </x:row>
    <x:row r="8">
      <x:c r="A8" s="14" t="str">
        <x:v>T05</x:v>
      </x:c>
      <x:c r="B8" s="14" t="str">
        <x:v>Bilmiyorum</x:v>
      </x:c>
      <x:c r="C8" s="14" t="str">
        <x:v>bilmiyorum</x:v>
      </x:c>
      <x:c r="D8" s="14" t="str">
        <x:v>su</x:v>
      </x:c>
      <x:c r="E8" s="14" t="str">
        <x:v>NA</x:v>
      </x:c>
      <x:c r="F8" s="14" t="str">
        <x:v>Explicit abstention</x:v>
      </x:c>
    </x:row>
    <x:row r="9">
      <x:c r="A9" s="14" t="str">
        <x:v>T06</x:v>
      </x:c>
      <x:c r="B9" s="14" t="str">
        <x:v>Su çünkü gelenek böyledir.</x:v>
      </x:c>
      <x:c r="C9" s="14" t="str">
        <x:v>su çünkü gelenek böyledir</x:v>
      </x:c>
      <x:c r="D9" s="14" t="str">
        <x:v>su</x:v>
      </x:c>
      <x:c r="E9" s="14" t="str">
        <x:v>REVIEW</x:v>
      </x:c>
      <x:c r="F9" s="14" t="str">
        <x:v>No substring auto-match</x:v>
      </x:c>
    </x:row>
    <x:row r="10">
      <x:c r="A10" s="14" t="str">
        <x:v>T07</x:v>
      </x:c>
      <x:c r="B10" s="14" t="str">
        <x:v>Ince belli bardak</x:v>
      </x:c>
      <x:c r="C10" s="14" t="str">
        <x:v>ınce belli bardak</x:v>
      </x:c>
      <x:c r="D10" s="14" t="str">
        <x:v>ince belli bardak</x:v>
      </x:c>
      <x:c r="E10" s="14" t="str">
        <x:v>REVIEW</x:v>
      </x:c>
      <x:c r="F10" s="14" t="str">
        <x:v>Do not erase Turkish letter distinctions</x:v>
      </x:c>
    </x:row>
    <x:row r="11">
      <x:c r="A11" s="14" t="str">
        <x:v>T08</x:v>
      </x:c>
      <x:c r="B11" s="14" t="str">
        <x:v>15</x:v>
      </x:c>
      <x:c r="C11" s="14" t="str">
        <x:v>15</x:v>
      </x:c>
      <x:c r="D11" s="14" t="str">
        <x:v>15 | %15</x:v>
      </x:c>
      <x:c r="E11" s="14" t="str">
        <x:v>CO</x:v>
      </x:c>
      <x:c r="F11" s="14" t="str">
        <x:v>Registered numeric variant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120ea52753d4f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1.25" hidden="0" customWidth="1"/>
    <x:col min="3" max="3" width="16.25" hidden="0" customWidth="1"/>
    <x:col min="4" max="4" width="16.25" hidden="0" customWidth="1"/>
    <x:col min="5" max="5" width="18.75" hidden="0" customWidth="1"/>
  </x:cols>
  <x:sheetData>
    <x:row r="1" ht="28.5" customHeight="1">
      <x:c r="A1" s="3" t="str">
        <x:v>Pilot Readiness and QA Dashboard</x:v>
      </x:c>
      <x:c r="B1" s="3" t="str">
        <x:v>Pilot Readiness and QA Dashboard</x:v>
      </x:c>
      <x:c r="C1" s="3" t="str">
        <x:v>Pilot Readiness and QA Dashboard</x:v>
      </x:c>
      <x:c r="D1" s="3" t="str">
        <x:v>Pilot Readiness and QA Dashboard</x:v>
      </x:c>
      <x:c r="E1" s="3" t="str">
        <x:v>Pilot Readiness and QA Dashboard</x:v>
      </x:c>
    </x:row>
    <x:row r="3">
      <x:c r="A3" s="11" t="str">
        <x:v>AREA</x:v>
      </x:c>
      <x:c r="B3" s="11" t="str">
        <x:v>METRIC</x:v>
      </x:c>
      <x:c r="C3" s="11" t="str">
        <x:v>TARGET</x:v>
      </x:c>
      <x:c r="D3" s="11" t="str">
        <x:v>OBSERVED</x:v>
      </x:c>
      <x:c r="E3" s="11" t="str">
        <x:v>STATUS</x:v>
      </x:c>
    </x:row>
    <x:row r="4">
      <x:c r="A4" s="20" t="str">
        <x:v>Design</x:v>
      </x:c>
      <x:c r="B4" s="14" t="str">
        <x:v>Dev items</x:v>
      </x:c>
      <x:c r="C4" s="14" t="n">
        <x:v>36</x:v>
      </x:c>
      <x:c r="D4" s="14" t="n">
        <x:f>COUNTA('Dev_Items'!A4:A39)</x:f>
        <x:v>36</x:v>
      </x:c>
      <x:c r="E4" s="29" t="str">
        <x:f>IF(C4="monitor","INFO",IF(C4="all",IF(D4=72,"PASS","PENDING"),IF(D4=C4,"PASS","PENDING")))</x:f>
        <x:v>PASS</x:v>
      </x:c>
    </x:row>
    <x:row r="5">
      <x:c r="A5" s="20" t="str">
        <x:v>Design</x:v>
      </x:c>
      <x:c r="B5" s="14" t="str">
        <x:v>Request rows</x:v>
      </x:c>
      <x:c r="C5" s="14" t="n">
        <x:v>72</x:v>
      </x:c>
      <x:c r="D5" s="14" t="n">
        <x:f>COUNTA('Requests'!A4:A75)</x:f>
        <x:v>72</x:v>
      </x:c>
      <x:c r="E5" s="29" t="str">
        <x:f>IF(C5="monitor","INFO",IF(C5="all",IF(D5=72,"PASS","PENDING"),IF(D5=C5,"PASS","PENDING")))</x:f>
        <x:v>PASS</x:v>
      </x:c>
    </x:row>
    <x:row r="6">
      <x:c r="A6" s="20" t="str">
        <x:v>Documentation</x:v>
      </x:c>
      <x:c r="B6" s="14" t="str">
        <x:v>Reviewer forms archived</x:v>
      </x:c>
      <x:c r="C6" s="14" t="n">
        <x:v>2</x:v>
      </x:c>
      <x:c r="D6" s="15" t="n">
        <x:v>0</x:v>
      </x:c>
      <x:c r="E6" s="29" t="str">
        <x:f>IF(C6="monitor","INFO",IF(C6="all",IF(D6=72,"PASS","PENDING"),IF(D6=C6,"PASS","PENDING")))</x:f>
        <x:v>PENDING</x:v>
      </x:c>
    </x:row>
    <x:row r="7">
      <x:c r="A7" s="20" t="str">
        <x:v>Freeze</x:v>
      </x:c>
      <x:c r="B7" s="14" t="str">
        <x:v>Dev frozen + checksum recorded</x:v>
      </x:c>
      <x:c r="C7" s="14" t="n">
        <x:v>1</x:v>
      </x:c>
      <x:c r="D7" s="15" t="n">
        <x:v>0</x:v>
      </x:c>
      <x:c r="E7" s="29" t="str">
        <x:f>IF(C7="monitor","INFO",IF(C7="all",IF(D7=72,"PASS","PENDING"),IF(D7=C7,"PASS","PENDING")))</x:f>
        <x:v>PENDING</x:v>
      </x:c>
    </x:row>
    <x:row r="8">
      <x:c r="A8" s="20" t="str">
        <x:v>Configuration</x:v>
      </x:c>
      <x:c r="B8" s="14" t="str">
        <x:v>Enabled model slots</x:v>
      </x:c>
      <x:c r="C8" s="14" t="n">
        <x:v>2</x:v>
      </x:c>
      <x:c r="D8" s="14" t="n">
        <x:f>COUNTIF('Model_Settings'!G4:G5,"yes")</x:f>
        <x:v>1</x:v>
      </x:c>
      <x:c r="E8" s="29" t="str">
        <x:f>IF(C8="monitor","INFO",IF(C8="all",IF(D8=72,"PASS","PENDING"),IF(D8=C8,"PASS","PENDING")))</x:f>
        <x:v>PENDING</x:v>
      </x:c>
    </x:row>
    <x:row r="9">
      <x:c r="A9" s="20" t="str">
        <x:v>Execution</x:v>
      </x:c>
      <x:c r="B9" s="14" t="str">
        <x:v>Successful responses</x:v>
      </x:c>
      <x:c r="C9" s="14" t="n">
        <x:v>72</x:v>
      </x:c>
      <x:c r="D9" s="14" t="n">
        <x:f>COUNTIF('Responses'!T5:T76,"ok")</x:f>
        <x:v>0</x:v>
      </x:c>
      <x:c r="E9" s="29" t="str">
        <x:f>IF(C9="monitor","INFO",IF(C9="all",IF(D9=72,"PASS","PENDING"),IF(D9=C9,"PASS","PENDING")))</x:f>
        <x:v>PENDING</x:v>
      </x:c>
    </x:row>
    <x:row r="10">
      <x:c r="A10" s="20" t="str">
        <x:v>Scoring</x:v>
      </x:c>
      <x:c r="B10" s="14" t="str">
        <x:v>Automatically labeled CO/NA</x:v>
      </x:c>
      <x:c r="C10" s="14" t="str">
        <x:v>monitor</x:v>
      </x:c>
      <x:c r="D10" s="14" t="n">
        <x:f>COUNTIF('Responses'!K5:K76,"CO")+COUNTIF('Responses'!K5:K76,"NA")</x:f>
        <x:v>0</x:v>
      </x:c>
      <x:c r="E10" s="29" t="str">
        <x:f>IF(C10="monitor","INFO",IF(C10="all",IF(D10=72,"PASS","PENDING"),IF(D10=C10,"PASS","PENDING")))</x:f>
        <x:v>INFO</x:v>
      </x:c>
    </x:row>
    <x:row r="11">
      <x:c r="A11" s="20" t="str">
        <x:v>Scoring</x:v>
      </x:c>
      <x:c r="B11" s="14" t="str">
        <x:v>Manual-review rows resolved</x:v>
      </x:c>
      <x:c r="C11" s="14" t="str">
        <x:v>all</x:v>
      </x:c>
      <x:c r="D11" s="14" t="n">
        <x:f>COUNTIF('Responses'!M5:M76,"CO")+COUNTIF('Responses'!M5:M76,"IN")+COUNTIF('Responses'!M5:M76,"NA")</x:f>
        <x:v>0</x:v>
      </x:c>
      <x:c r="E11" s="29" t="str">
        <x:f>IF(C11="monitor","INFO",IF(C11="all",IF(D11=72,"PASS","PENDING"),IF(D11=C11,"PASS","PENDING")))</x:f>
        <x:v>PENDING</x:v>
      </x:c>
    </x:row>
    <x:row r="12">
      <x:c r="A12" s="20" t="str">
        <x:v>QA</x:v>
      </x:c>
      <x:c r="B12" s="14" t="str">
        <x:v>Unresolved systematic issues</x:v>
      </x:c>
      <x:c r="C12" s="14" t="n">
        <x:v>0</x:v>
      </x:c>
      <x:c r="D12" s="14" t="n">
        <x:f>COUNTIF('Responses'!O5:O76,"?*")</x:f>
        <x:v>0</x:v>
      </x:c>
      <x:c r="E12" s="29" t="str">
        <x:f>IF(C12="monitor","INFO",IF(C12="all",IF(D12=72,"PASS","PENDING"),IF(D12=C12,"PASS","PENDING")))</x:f>
        <x:v>PASS</x:v>
      </x:c>
    </x:row>
    <x:row r="13">
      <x:c r="A13" s="20" t="str">
        <x:v>QA</x:v>
      </x:c>
      <x:c r="B13" s="14" t="str">
        <x:v>Scorer unit tests passed</x:v>
      </x:c>
      <x:c r="C13" s="14" t="n">
        <x:v>8</x:v>
      </x:c>
      <x:c r="D13" s="14" t="n">
        <x:v>8</x:v>
      </x:c>
      <x:c r="E13" s="29" t="str">
        <x:f>IF(C13="monitor","INFO",IF(C13="all",IF(D13=72,"PASS","PENDING"),IF(D13=C13,"PASS","PENDING")))</x:f>
        <x:v>PASS</x:v>
      </x:c>
    </x:row>
    <x:row r="14">
      <x:c r="A14" s="20" t="str">
        <x:v>Overall</x:v>
      </x:c>
      <x:c r="B14" s="14" t="str">
        <x:v>GO / NO-GO</x:v>
      </x:c>
      <x:c r="C14" s="14" t="str">
        <x:v>GO</x:v>
      </x:c>
      <x:c r="D14" s="14" t="str">
        <x:f>IF(AND(D4=36,D5=72,D6=2,D7=1,D8=2,D9=72,D11=72,D12=0,D13=8),"GO","PENDING / NO-GO")</x:f>
        <x:v>PENDING / NO-GO</x:v>
      </x:c>
      <x:c r="E14" s="29" t="str">
        <x:f>IF(D14="GO","PASS","ACTION REQUIRED")</x:f>
        <x:v>ACTION REQUIRED</x:v>
      </x:c>
    </x:row>
    <x:row r="16">
      <x:c r="A16" s="30" t="str">
        <x:v>Interpretation</x:v>
      </x:c>
      <x:c r="B16" s="31" t="str">
        <x:v>The workbook is correctly PENDING until reviewer forms are archived, Dev is frozen, both models are configured, and all 72 outputs are resolved.</x:v>
      </x:c>
      <x:c r="C16" s="31" t="str"/>
      <x:c r="D16" s="31" t="str"/>
      <x:c r="E16" s="31" t="str"/>
    </x:row>
    <x:row r="17">
      <x:c r="A17" s="30" t="str">
        <x:v>Cost control</x:v>
      </x:c>
      <x:c r="B17" s="31" t="str">
        <x:v>No API calls were made while building this package. The author controls provider choice and spend at run time.</x:v>
      </x:c>
      <x:c r="C17" s="31" t="str"/>
      <x:c r="D17" s="31" t="str"/>
      <x:c r="E17" s="31" t="str"/>
    </x:row>
  </x:sheetData>
  <x:mergeCells>
    <x:mergeCell ref="A1:E1"/>
    <x:mergeCell ref="B16:E16"/>
    <x:mergeCell ref="B17:E17"/>
  </x:mergeCells>
  <x:pageMargins left="0.7" right="0.7" top="0.75" bottom="0.75" header="0.3" footer="0.3"/>
</x:worksheet>
</file>